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tianyu/Desktop/发工资/"/>
    </mc:Choice>
  </mc:AlternateContent>
  <xr:revisionPtr revIDLastSave="0" documentId="13_ncr:1_{E9DE855A-A0DB-9343-A63A-3658486FD5A0}" xr6:coauthVersionLast="47" xr6:coauthVersionMax="47" xr10:uidLastSave="{00000000-0000-0000-0000-000000000000}"/>
  <bookViews>
    <workbookView xWindow="7960" yWindow="3560" windowWidth="22700" windowHeight="14480" xr2:uid="{211BD1FE-851A-4424-9513-90AD6FAC00BF}"/>
  </bookViews>
  <sheets>
    <sheet name="外派员工-分社" sheetId="1" r:id="rId1"/>
    <sheet name="外派员工-国际公司（分社代发）" sheetId="6" r:id="rId2"/>
    <sheet name="属地员工-分社" sheetId="2" r:id="rId3"/>
    <sheet name="属地员工-国际公司（分社代发）" sheetId="7" r:id="rId4"/>
    <sheet name="属地员工-国际公司" sheetId="11" r:id="rId5"/>
    <sheet name="Sheet1" sheetId="12" r:id="rId6"/>
  </sheets>
  <definedNames>
    <definedName name="_xlnm._FilterDatabase" localSheetId="0" hidden="1">'外派员工-分社'!$B$5:$HA$15</definedName>
    <definedName name="_xlnm._FilterDatabase" localSheetId="1" hidden="1">'外派员工-国际公司（分社代发）'!$B$5:$HA$15</definedName>
    <definedName name="_xlnm._FilterDatabase" localSheetId="2" hidden="1">'属地员工-分社'!#REF!</definedName>
    <definedName name="_xlnm._FilterDatabase" localSheetId="4" hidden="1">'属地员工-国际公司'!#REF!</definedName>
    <definedName name="_xlnm._FilterDatabase" localSheetId="3" hidden="1">'属地员工-国际公司（分社代发）'!#REF!</definedName>
    <definedName name="_xlnm.Print_Area" localSheetId="0">'外派员工-分社'!$A$1:$AB$28</definedName>
    <definedName name="_xlnm.Print_Area" localSheetId="1">'外派员工-国际公司（分社代发）'!$A$1:$AB$26</definedName>
    <definedName name="_xlnm.Print_Area" localSheetId="2">'属地员工-分社'!$A$1:$U$24</definedName>
    <definedName name="_xlnm.Print_Area" localSheetId="4">'属地员工-国际公司'!$A$1:$U$20</definedName>
    <definedName name="_xlnm.Print_Area" localSheetId="3">'属地员工-国际公司（分社代发）'!$A$1:$V$20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1" l="1"/>
  <c r="C15" i="12"/>
  <c r="C14" i="12"/>
  <c r="C12" i="12"/>
  <c r="C13" i="12"/>
  <c r="C21" i="12"/>
  <c r="C20" i="12"/>
  <c r="C19" i="12"/>
  <c r="C18" i="12"/>
  <c r="C22" i="12"/>
  <c r="Z10" i="1"/>
  <c r="Q10" i="1"/>
  <c r="H10" i="1"/>
  <c r="Z7" i="1"/>
  <c r="Q7" i="1"/>
  <c r="H7" i="1"/>
  <c r="S7" i="1" s="1"/>
  <c r="T7" i="1" s="1"/>
  <c r="W7" i="1" s="1"/>
  <c r="AA7" i="1" l="1"/>
  <c r="AC7" i="1" s="1"/>
  <c r="S10" i="1"/>
  <c r="T10" i="1" s="1"/>
  <c r="W10" i="1" s="1"/>
  <c r="AA10" i="1" s="1"/>
  <c r="AC10" i="1" s="1"/>
  <c r="H16" i="1"/>
  <c r="H15" i="1"/>
  <c r="H14" i="1"/>
  <c r="H13" i="1"/>
  <c r="H12" i="1"/>
  <c r="H11" i="1"/>
  <c r="H9" i="1"/>
  <c r="H8" i="1"/>
  <c r="H6" i="1"/>
  <c r="H6" i="11" l="1"/>
  <c r="R14" i="11"/>
  <c r="Y10" i="11" s="1"/>
  <c r="L14" i="11"/>
  <c r="K14" i="11"/>
  <c r="J14" i="11"/>
  <c r="I14" i="11"/>
  <c r="G14" i="11"/>
  <c r="F14" i="11"/>
  <c r="E14" i="11"/>
  <c r="D14" i="11"/>
  <c r="M13" i="11"/>
  <c r="H13" i="11"/>
  <c r="O13" i="11" s="1"/>
  <c r="M12" i="11"/>
  <c r="P12" i="11" s="1"/>
  <c r="H12" i="11"/>
  <c r="N12" i="11" s="1"/>
  <c r="M11" i="11"/>
  <c r="P11" i="11" s="1"/>
  <c r="H11" i="11"/>
  <c r="O11" i="11" s="1"/>
  <c r="M10" i="11"/>
  <c r="P10" i="11" s="1"/>
  <c r="H10" i="11"/>
  <c r="N10" i="11" s="1"/>
  <c r="M9" i="11"/>
  <c r="P9" i="11" s="1"/>
  <c r="H9" i="11"/>
  <c r="O9" i="11" s="1"/>
  <c r="M8" i="11"/>
  <c r="P8" i="11" s="1"/>
  <c r="H8" i="11"/>
  <c r="O8" i="11" s="1"/>
  <c r="M7" i="11"/>
  <c r="P7" i="11" s="1"/>
  <c r="H7" i="11"/>
  <c r="O7" i="11" s="1"/>
  <c r="Y6" i="11"/>
  <c r="M5" i="11"/>
  <c r="H5" i="11"/>
  <c r="N11" i="11" l="1"/>
  <c r="O6" i="11"/>
  <c r="C11" i="12"/>
  <c r="C16" i="12"/>
  <c r="C23" i="12" s="1"/>
  <c r="M14" i="11"/>
  <c r="Y5" i="11" s="1"/>
  <c r="Q8" i="11"/>
  <c r="S8" i="11" s="1"/>
  <c r="Q11" i="11"/>
  <c r="S11" i="11" s="1"/>
  <c r="O12" i="11"/>
  <c r="Q12" i="11" s="1"/>
  <c r="S12" i="11" s="1"/>
  <c r="T12" i="11" s="1"/>
  <c r="N13" i="11"/>
  <c r="P13" i="11"/>
  <c r="Q13" i="11" s="1"/>
  <c r="S13" i="11" s="1"/>
  <c r="T11" i="11"/>
  <c r="P5" i="11"/>
  <c r="P14" i="11" s="1"/>
  <c r="Q9" i="11"/>
  <c r="S9" i="11" s="1"/>
  <c r="O10" i="11"/>
  <c r="Q10" i="11" s="1"/>
  <c r="S10" i="11" s="1"/>
  <c r="T10" i="11" s="1"/>
  <c r="Q7" i="11"/>
  <c r="S7" i="11" s="1"/>
  <c r="N6" i="11"/>
  <c r="Q6" i="11"/>
  <c r="C14" i="11"/>
  <c r="N5" i="11"/>
  <c r="H14" i="11"/>
  <c r="Y4" i="11" s="1"/>
  <c r="O5" i="11"/>
  <c r="N7" i="11"/>
  <c r="N8" i="11"/>
  <c r="T8" i="11" s="1"/>
  <c r="N9" i="11"/>
  <c r="T9" i="11" s="1"/>
  <c r="S6" i="11" l="1"/>
  <c r="C26" i="12"/>
  <c r="Y8" i="11"/>
  <c r="T13" i="11"/>
  <c r="T7" i="11"/>
  <c r="T6" i="11"/>
  <c r="C31" i="12" s="1"/>
  <c r="O14" i="11"/>
  <c r="Q5" i="11"/>
  <c r="N14" i="11"/>
  <c r="Q14" i="11" l="1"/>
  <c r="S5" i="11"/>
  <c r="S14" i="11" l="1"/>
  <c r="T5" i="11"/>
  <c r="T14" i="11" s="1"/>
  <c r="Y7" i="11"/>
  <c r="Y9" i="11"/>
  <c r="Y12" i="11" s="1"/>
  <c r="X13" i="11" l="1"/>
  <c r="Z17" i="1" l="1"/>
  <c r="Q17" i="1"/>
  <c r="H17" i="1"/>
  <c r="S17" i="1" s="1"/>
  <c r="T17" i="1" s="1"/>
  <c r="W17" i="1" s="1"/>
  <c r="Z16" i="1"/>
  <c r="Q16" i="1"/>
  <c r="Z15" i="1"/>
  <c r="Q15" i="1"/>
  <c r="Z14" i="1"/>
  <c r="Q14" i="1"/>
  <c r="S14" i="1" s="1"/>
  <c r="T14" i="1" s="1"/>
  <c r="W14" i="1" s="1"/>
  <c r="AA14" i="1" s="1"/>
  <c r="AC14" i="1" s="1"/>
  <c r="Z13" i="1"/>
  <c r="Q13" i="1"/>
  <c r="S13" i="1" s="1"/>
  <c r="T13" i="1" s="1"/>
  <c r="W13" i="1" s="1"/>
  <c r="AA13" i="1" s="1"/>
  <c r="AC13" i="1" s="1"/>
  <c r="Z12" i="1"/>
  <c r="Q12" i="1"/>
  <c r="S12" i="1" s="1"/>
  <c r="T12" i="1" s="1"/>
  <c r="W12" i="1" s="1"/>
  <c r="Z11" i="1"/>
  <c r="Q11" i="1"/>
  <c r="S11" i="1" s="1"/>
  <c r="T11" i="1" s="1"/>
  <c r="W11" i="1" s="1"/>
  <c r="AA12" i="1" l="1"/>
  <c r="AC12" i="1" s="1"/>
  <c r="AA17" i="1"/>
  <c r="AC17" i="1" s="1"/>
  <c r="S15" i="1"/>
  <c r="T15" i="1" s="1"/>
  <c r="W15" i="1" s="1"/>
  <c r="AA15" i="1" s="1"/>
  <c r="AC15" i="1" s="1"/>
  <c r="S16" i="1"/>
  <c r="T16" i="1" s="1"/>
  <c r="W16" i="1" s="1"/>
  <c r="AA16" i="1" s="1"/>
  <c r="AC16" i="1" s="1"/>
  <c r="AA11" i="1"/>
  <c r="AC11" i="1" s="1"/>
  <c r="Q6" i="6" l="1"/>
  <c r="H9" i="7" l="1"/>
  <c r="O9" i="7" s="1"/>
  <c r="Z9" i="1" l="1"/>
  <c r="Q9" i="1"/>
  <c r="H18" i="1"/>
  <c r="Q18" i="1"/>
  <c r="Z18" i="1"/>
  <c r="H19" i="1"/>
  <c r="Q19" i="1"/>
  <c r="Z19" i="1"/>
  <c r="S9" i="1" l="1"/>
  <c r="T9" i="1" s="1"/>
  <c r="W9" i="1" s="1"/>
  <c r="AA9" i="1" s="1"/>
  <c r="AC9" i="1" s="1"/>
  <c r="S19" i="1"/>
  <c r="T19" i="1" s="1"/>
  <c r="W19" i="1" s="1"/>
  <c r="AA19" i="1" s="1"/>
  <c r="AC19" i="1" s="1"/>
  <c r="S18" i="1"/>
  <c r="T18" i="1" s="1"/>
  <c r="W18" i="1" s="1"/>
  <c r="AA18" i="1" s="1"/>
  <c r="AC18" i="1" s="1"/>
  <c r="J21" i="6" l="1"/>
  <c r="H8" i="6"/>
  <c r="Z20" i="1" l="1"/>
  <c r="Q20" i="1"/>
  <c r="H20" i="1"/>
  <c r="Z19" i="6"/>
  <c r="Q19" i="6"/>
  <c r="H19" i="6"/>
  <c r="Z18" i="6"/>
  <c r="Q18" i="6"/>
  <c r="H18" i="6"/>
  <c r="Z17" i="6"/>
  <c r="Q17" i="6"/>
  <c r="H17" i="6"/>
  <c r="Z16" i="6"/>
  <c r="Q16" i="6"/>
  <c r="H16" i="6"/>
  <c r="Z15" i="6"/>
  <c r="Q15" i="6"/>
  <c r="H15" i="6"/>
  <c r="Z14" i="6"/>
  <c r="Q14" i="6"/>
  <c r="H14" i="6"/>
  <c r="Z13" i="6"/>
  <c r="Q13" i="6"/>
  <c r="H13" i="6"/>
  <c r="S13" i="6" s="1"/>
  <c r="T13" i="6" s="1"/>
  <c r="W13" i="6" s="1"/>
  <c r="Z12" i="6"/>
  <c r="Q12" i="6"/>
  <c r="H12" i="6"/>
  <c r="Z11" i="6"/>
  <c r="Q11" i="6"/>
  <c r="H11" i="6"/>
  <c r="Z10" i="6"/>
  <c r="Q10" i="6"/>
  <c r="H10" i="6"/>
  <c r="Z9" i="6"/>
  <c r="Q9" i="6"/>
  <c r="H9" i="6"/>
  <c r="Z8" i="6"/>
  <c r="Q8" i="6"/>
  <c r="S8" i="6" s="1"/>
  <c r="Z7" i="6"/>
  <c r="Q7" i="6"/>
  <c r="H7" i="6"/>
  <c r="Z6" i="6"/>
  <c r="H6" i="6"/>
  <c r="S10" i="6" l="1"/>
  <c r="T10" i="6" s="1"/>
  <c r="W10" i="6" s="1"/>
  <c r="AA10" i="6" s="1"/>
  <c r="AC10" i="6" s="1"/>
  <c r="S20" i="1"/>
  <c r="T20" i="1" s="1"/>
  <c r="W20" i="1" s="1"/>
  <c r="AA20" i="1" s="1"/>
  <c r="AC20" i="1" s="1"/>
  <c r="S16" i="6"/>
  <c r="T16" i="6" s="1"/>
  <c r="W16" i="6" s="1"/>
  <c r="AA16" i="6" s="1"/>
  <c r="AC16" i="6" s="1"/>
  <c r="S19" i="6"/>
  <c r="T19" i="6" s="1"/>
  <c r="W19" i="6" s="1"/>
  <c r="AA19" i="6" s="1"/>
  <c r="AC19" i="6" s="1"/>
  <c r="S14" i="6"/>
  <c r="T14" i="6" s="1"/>
  <c r="W14" i="6" s="1"/>
  <c r="AA14" i="6" s="1"/>
  <c r="AC14" i="6" s="1"/>
  <c r="S6" i="6"/>
  <c r="T6" i="6" s="1"/>
  <c r="W6" i="6" s="1"/>
  <c r="AA6" i="6" s="1"/>
  <c r="AC6" i="6" s="1"/>
  <c r="S17" i="6"/>
  <c r="T17" i="6" s="1"/>
  <c r="W17" i="6" s="1"/>
  <c r="AA17" i="6" s="1"/>
  <c r="AC17" i="6" s="1"/>
  <c r="T8" i="6"/>
  <c r="W8" i="6" s="1"/>
  <c r="AA8" i="6" s="1"/>
  <c r="AC8" i="6" s="1"/>
  <c r="S12" i="6"/>
  <c r="T12" i="6" s="1"/>
  <c r="W12" i="6" s="1"/>
  <c r="AA12" i="6" s="1"/>
  <c r="AC12" i="6" s="1"/>
  <c r="S18" i="6"/>
  <c r="T18" i="6" s="1"/>
  <c r="W18" i="6" s="1"/>
  <c r="AA18" i="6" s="1"/>
  <c r="AC18" i="6" s="1"/>
  <c r="AA13" i="6"/>
  <c r="AC13" i="6" s="1"/>
  <c r="S15" i="6"/>
  <c r="T15" i="6" s="1"/>
  <c r="W15" i="6" s="1"/>
  <c r="AA15" i="6" s="1"/>
  <c r="AC15" i="6" s="1"/>
  <c r="S7" i="6"/>
  <c r="T7" i="6" s="1"/>
  <c r="W7" i="6" s="1"/>
  <c r="AA7" i="6" s="1"/>
  <c r="AC7" i="6" s="1"/>
  <c r="S11" i="6"/>
  <c r="T11" i="6" s="1"/>
  <c r="W11" i="6" s="1"/>
  <c r="AA11" i="6" s="1"/>
  <c r="AC11" i="6" s="1"/>
  <c r="S9" i="6"/>
  <c r="T9" i="6" s="1"/>
  <c r="W9" i="6" s="1"/>
  <c r="AA9" i="6" s="1"/>
  <c r="AC9" i="6" s="1"/>
  <c r="M8" i="7" l="1"/>
  <c r="P8" i="7" s="1"/>
  <c r="H8" i="7"/>
  <c r="O8" i="7" s="1"/>
  <c r="M7" i="7"/>
  <c r="P7" i="7" s="1"/>
  <c r="H7" i="7"/>
  <c r="O7" i="7" s="1"/>
  <c r="M6" i="7"/>
  <c r="P6" i="7" s="1"/>
  <c r="H6" i="7"/>
  <c r="O6" i="7" s="1"/>
  <c r="M5" i="7"/>
  <c r="P5" i="7" s="1"/>
  <c r="H5" i="7"/>
  <c r="O5" i="7" s="1"/>
  <c r="R14" i="7"/>
  <c r="Y10" i="7" s="1"/>
  <c r="L14" i="7"/>
  <c r="K14" i="7"/>
  <c r="Y6" i="7" s="1"/>
  <c r="J14" i="7"/>
  <c r="I14" i="7"/>
  <c r="G14" i="7"/>
  <c r="F14" i="7"/>
  <c r="E14" i="7"/>
  <c r="D14" i="7"/>
  <c r="M13" i="7"/>
  <c r="P13" i="7" s="1"/>
  <c r="H13" i="7"/>
  <c r="O13" i="7" s="1"/>
  <c r="M12" i="7"/>
  <c r="P12" i="7" s="1"/>
  <c r="H12" i="7"/>
  <c r="O12" i="7" s="1"/>
  <c r="M11" i="7"/>
  <c r="P11" i="7" s="1"/>
  <c r="H11" i="7"/>
  <c r="O11" i="7" s="1"/>
  <c r="M10" i="7"/>
  <c r="P10" i="7" s="1"/>
  <c r="H10" i="7"/>
  <c r="O10" i="7" s="1"/>
  <c r="M9" i="7"/>
  <c r="P9" i="7" s="1"/>
  <c r="Y21" i="6"/>
  <c r="X21" i="6"/>
  <c r="V21" i="6"/>
  <c r="AG16" i="6" s="1"/>
  <c r="U21" i="6"/>
  <c r="AG13" i="6" s="1"/>
  <c r="AG15" i="6" s="1"/>
  <c r="R21" i="6"/>
  <c r="AG12" i="6" s="1"/>
  <c r="P21" i="6"/>
  <c r="AG11" i="6" s="1"/>
  <c r="O21" i="6"/>
  <c r="AG10" i="6" s="1"/>
  <c r="N21" i="6"/>
  <c r="AG9" i="6" s="1"/>
  <c r="M21" i="6"/>
  <c r="AG8" i="6" s="1"/>
  <c r="L21" i="6"/>
  <c r="AG7" i="6" s="1"/>
  <c r="K21" i="6"/>
  <c r="AG6" i="6" s="1"/>
  <c r="F21" i="6"/>
  <c r="D21" i="6"/>
  <c r="Z20" i="6"/>
  <c r="Q20" i="6"/>
  <c r="H20" i="6"/>
  <c r="AG5" i="6"/>
  <c r="Q7" i="7" l="1"/>
  <c r="S7" i="7" s="1"/>
  <c r="N8" i="7"/>
  <c r="S20" i="6"/>
  <c r="T20" i="6" s="1"/>
  <c r="W20" i="6" s="1"/>
  <c r="AA20" i="6" s="1"/>
  <c r="AC20" i="6" s="1"/>
  <c r="N10" i="7"/>
  <c r="Q11" i="7"/>
  <c r="S11" i="7" s="1"/>
  <c r="Q12" i="7"/>
  <c r="S12" i="7" s="1"/>
  <c r="N11" i="7"/>
  <c r="Q13" i="7"/>
  <c r="S13" i="7" s="1"/>
  <c r="N6" i="7"/>
  <c r="N12" i="7"/>
  <c r="M14" i="7"/>
  <c r="Y5" i="7" s="1"/>
  <c r="Q9" i="7"/>
  <c r="S9" i="7" s="1"/>
  <c r="Q21" i="6"/>
  <c r="H21" i="6"/>
  <c r="AG4" i="6" s="1"/>
  <c r="Z21" i="6"/>
  <c r="AG17" i="6" s="1"/>
  <c r="Q8" i="7"/>
  <c r="S8" i="7" s="1"/>
  <c r="N7" i="7"/>
  <c r="Q10" i="7"/>
  <c r="S10" i="7" s="1"/>
  <c r="Q6" i="7"/>
  <c r="S6" i="7" s="1"/>
  <c r="Q5" i="7"/>
  <c r="S5" i="7" s="1"/>
  <c r="N5" i="7"/>
  <c r="H14" i="7"/>
  <c r="Y4" i="7" s="1"/>
  <c r="P14" i="7"/>
  <c r="N13" i="7"/>
  <c r="N9" i="7"/>
  <c r="C14" i="7"/>
  <c r="T10" i="7" l="1"/>
  <c r="T13" i="7"/>
  <c r="T12" i="7"/>
  <c r="T8" i="7"/>
  <c r="T6" i="7"/>
  <c r="T11" i="7"/>
  <c r="Y8" i="7"/>
  <c r="T9" i="7"/>
  <c r="AG18" i="6"/>
  <c r="T7" i="7"/>
  <c r="T5" i="7"/>
  <c r="Q14" i="7"/>
  <c r="O14" i="7"/>
  <c r="N14" i="7"/>
  <c r="S21" i="6"/>
  <c r="Y9" i="7" l="1"/>
  <c r="Y12" i="7" s="1"/>
  <c r="Y7" i="7"/>
  <c r="S14" i="7"/>
  <c r="T14" i="7"/>
  <c r="T21" i="6"/>
  <c r="M10" i="2"/>
  <c r="P10" i="2" s="1"/>
  <c r="H10" i="2"/>
  <c r="O10" i="2" s="1"/>
  <c r="M9" i="2"/>
  <c r="P9" i="2" s="1"/>
  <c r="H9" i="2"/>
  <c r="O9" i="2" s="1"/>
  <c r="M8" i="2"/>
  <c r="P8" i="2" s="1"/>
  <c r="H8" i="2"/>
  <c r="O8" i="2" s="1"/>
  <c r="M7" i="2"/>
  <c r="P7" i="2" s="1"/>
  <c r="H7" i="2"/>
  <c r="O7" i="2" s="1"/>
  <c r="M6" i="2"/>
  <c r="P6" i="2" s="1"/>
  <c r="H6" i="2"/>
  <c r="O6" i="2" s="1"/>
  <c r="M5" i="2"/>
  <c r="P5" i="2" s="1"/>
  <c r="H5" i="2"/>
  <c r="O5" i="2" s="1"/>
  <c r="Q7" i="2" l="1"/>
  <c r="S7" i="2" s="1"/>
  <c r="Q10" i="2"/>
  <c r="S10" i="2" s="1"/>
  <c r="Q5" i="2"/>
  <c r="S5" i="2" s="1"/>
  <c r="X13" i="7"/>
  <c r="W21" i="6"/>
  <c r="Q6" i="2"/>
  <c r="S6" i="2" s="1"/>
  <c r="Q9" i="2"/>
  <c r="S9" i="2" s="1"/>
  <c r="N10" i="2"/>
  <c r="N9" i="2"/>
  <c r="Q8" i="2"/>
  <c r="S8" i="2" s="1"/>
  <c r="N8" i="2"/>
  <c r="N7" i="2"/>
  <c r="N6" i="2"/>
  <c r="N5" i="2"/>
  <c r="T7" i="2" l="1"/>
  <c r="T10" i="2"/>
  <c r="T9" i="2"/>
  <c r="T5" i="2"/>
  <c r="AA21" i="6"/>
  <c r="AF19" i="6" s="1"/>
  <c r="T6" i="2"/>
  <c r="T8" i="2"/>
  <c r="Y21" i="1" l="1"/>
  <c r="H11" i="2" l="1"/>
  <c r="O11" i="2" s="1"/>
  <c r="Q6" i="1" l="1"/>
  <c r="Q8" i="1"/>
  <c r="S6" i="1" l="1"/>
  <c r="H12" i="2" l="1"/>
  <c r="O12" i="2" s="1"/>
  <c r="H13" i="2"/>
  <c r="O13" i="2" s="1"/>
  <c r="H14" i="2"/>
  <c r="O14" i="2" s="1"/>
  <c r="M11" i="2"/>
  <c r="M12" i="2"/>
  <c r="P12" i="2" s="1"/>
  <c r="M13" i="2"/>
  <c r="P13" i="2" s="1"/>
  <c r="M14" i="2"/>
  <c r="P14" i="2" s="1"/>
  <c r="Z8" i="1"/>
  <c r="Z6" i="1"/>
  <c r="X21" i="1"/>
  <c r="R15" i="2"/>
  <c r="Y10" i="2" s="1"/>
  <c r="L15" i="2"/>
  <c r="K15" i="2"/>
  <c r="J15" i="2"/>
  <c r="I15" i="2"/>
  <c r="G15" i="2"/>
  <c r="F15" i="2"/>
  <c r="E15" i="2"/>
  <c r="D15" i="2"/>
  <c r="F21" i="1"/>
  <c r="D21" i="1"/>
  <c r="V21" i="1"/>
  <c r="AG16" i="1" s="1"/>
  <c r="U21" i="1"/>
  <c r="AG13" i="1" s="1"/>
  <c r="AG15" i="1" s="1"/>
  <c r="R21" i="1"/>
  <c r="P21" i="1"/>
  <c r="AG11" i="1" s="1"/>
  <c r="O21" i="1"/>
  <c r="AG10" i="1" s="1"/>
  <c r="N21" i="1"/>
  <c r="AG9" i="1" s="1"/>
  <c r="M21" i="1"/>
  <c r="AG8" i="1" s="1"/>
  <c r="L21" i="1"/>
  <c r="AG7" i="1" s="1"/>
  <c r="K21" i="1"/>
  <c r="AG6" i="1" s="1"/>
  <c r="J21" i="1"/>
  <c r="AG5" i="1" l="1"/>
  <c r="Z21" i="1"/>
  <c r="AG17" i="1" s="1"/>
  <c r="N11" i="2"/>
  <c r="P11" i="2"/>
  <c r="Q11" i="2" s="1"/>
  <c r="S11" i="2" s="1"/>
  <c r="Q13" i="2"/>
  <c r="S13" i="2" s="1"/>
  <c r="Q12" i="2"/>
  <c r="S12" i="2" s="1"/>
  <c r="Q14" i="2"/>
  <c r="S14" i="2" s="1"/>
  <c r="Y6" i="2"/>
  <c r="N13" i="2"/>
  <c r="H15" i="2"/>
  <c r="Y4" i="2" s="1"/>
  <c r="N12" i="2"/>
  <c r="M15" i="2"/>
  <c r="N14" i="2"/>
  <c r="S8" i="1"/>
  <c r="H21" i="1"/>
  <c r="AG4" i="1" s="1"/>
  <c r="Q21" i="1"/>
  <c r="C15" i="2"/>
  <c r="P15" i="2" l="1"/>
  <c r="AG18" i="1"/>
  <c r="Y5" i="2"/>
  <c r="Y8" i="2" s="1"/>
  <c r="T13" i="2"/>
  <c r="T12" i="2"/>
  <c r="T11" i="2"/>
  <c r="T14" i="2"/>
  <c r="T6" i="1"/>
  <c r="W6" i="1" s="1"/>
  <c r="T8" i="1"/>
  <c r="S21" i="1"/>
  <c r="AA6" i="1" l="1"/>
  <c r="AC6" i="1" s="1"/>
  <c r="W8" i="1"/>
  <c r="AA8" i="1" s="1"/>
  <c r="AC8" i="1" s="1"/>
  <c r="O15" i="2"/>
  <c r="N15" i="2"/>
  <c r="W21" i="1" l="1"/>
  <c r="Q15" i="2"/>
  <c r="T21" i="1"/>
  <c r="Y7" i="2" l="1"/>
  <c r="Y9" i="2"/>
  <c r="Y12" i="2" s="1"/>
  <c r="S15" i="2"/>
  <c r="T15" i="2"/>
  <c r="AA21" i="1"/>
  <c r="AF19" i="1" s="1"/>
  <c r="X13" i="2" l="1"/>
</calcChain>
</file>

<file path=xl/sharedStrings.xml><?xml version="1.0" encoding="utf-8"?>
<sst xmlns="http://schemas.openxmlformats.org/spreadsheetml/2006/main" count="319" uniqueCount="148">
  <si>
    <t>中国船级社新加坡分社</t>
  </si>
  <si>
    <t>姓名</t>
  </si>
  <si>
    <t>基本工资(RMB)</t>
    <phoneticPr fontId="6" type="noConversion"/>
  </si>
  <si>
    <t>驻外岗级</t>
    <phoneticPr fontId="6" type="noConversion"/>
  </si>
  <si>
    <t>岗位工资
(RMB)</t>
    <phoneticPr fontId="6" type="noConversion"/>
  </si>
  <si>
    <t>补贴(RMB)</t>
    <phoneticPr fontId="6" type="noConversion"/>
  </si>
  <si>
    <t>房租（SGD）</t>
  </si>
  <si>
    <t>EP符合性</t>
  </si>
  <si>
    <t>备注</t>
  </si>
  <si>
    <t>档案工资</t>
    <phoneticPr fontId="6" type="noConversion"/>
  </si>
  <si>
    <t>地区
系数</t>
    <phoneticPr fontId="6" type="noConversion"/>
  </si>
  <si>
    <t>驻外基本工资</t>
    <phoneticPr fontId="6" type="noConversion"/>
  </si>
  <si>
    <t>生活补贴</t>
    <phoneticPr fontId="6" type="noConversion"/>
  </si>
  <si>
    <t>检验补贴</t>
    <phoneticPr fontId="6" type="noConversion"/>
  </si>
  <si>
    <t>岗级</t>
    <phoneticPr fontId="6" type="noConversion"/>
  </si>
  <si>
    <t>岗位工资</t>
    <phoneticPr fontId="6" type="noConversion"/>
  </si>
  <si>
    <t>薪级</t>
    <phoneticPr fontId="6" type="noConversion"/>
  </si>
  <si>
    <t>薪级工资</t>
    <phoneticPr fontId="6" type="noConversion"/>
  </si>
  <si>
    <t>午餐补贴</t>
  </si>
  <si>
    <t>交通补贴</t>
  </si>
  <si>
    <t>艰苦地区</t>
    <phoneticPr fontId="6" type="noConversion"/>
  </si>
  <si>
    <t>危险地区</t>
    <phoneticPr fontId="6" type="noConversion"/>
  </si>
  <si>
    <t>出海补贴</t>
  </si>
  <si>
    <t>行车补贴</t>
  </si>
  <si>
    <t>陈子利</t>
  </si>
  <si>
    <t>范云志</t>
  </si>
  <si>
    <t>廖立</t>
  </si>
  <si>
    <t>陈予</t>
  </si>
  <si>
    <t>韩宗兴</t>
  </si>
  <si>
    <t>倪文峰</t>
  </si>
  <si>
    <t>乐科铭</t>
  </si>
  <si>
    <t>x</t>
  </si>
  <si>
    <t>合计</t>
  </si>
  <si>
    <t>外派员工各项分类</t>
  </si>
  <si>
    <t>左表汇总(SGD)</t>
  </si>
  <si>
    <t>基本工资</t>
  </si>
  <si>
    <t>岗位工资</t>
  </si>
  <si>
    <t>固定工资类</t>
  </si>
  <si>
    <t>浮动工资类</t>
  </si>
  <si>
    <t>应发工资合计</t>
  </si>
  <si>
    <t>其他扣发</t>
  </si>
  <si>
    <t>扣发合计</t>
  </si>
  <si>
    <t>合同工资</t>
  </si>
  <si>
    <t>小计</t>
  </si>
  <si>
    <t>驾车补贴</t>
  </si>
  <si>
    <t>外勤补贴</t>
  </si>
  <si>
    <t>加班费</t>
  </si>
  <si>
    <t>浮动其他</t>
  </si>
  <si>
    <t>固定工资</t>
  </si>
  <si>
    <t>浮动工资</t>
  </si>
  <si>
    <t>SOO BEE BEE</t>
  </si>
  <si>
    <t>WANG MINGMING</t>
  </si>
  <si>
    <t>SUN SHUAI</t>
  </si>
  <si>
    <t>外派员工/拟实发工资汇总</t>
  </si>
  <si>
    <t>TEO YU JENG</t>
  </si>
  <si>
    <t xml:space="preserve"> 批准：</t>
  </si>
  <si>
    <t>制表：</t>
    <phoneticPr fontId="6" type="noConversion"/>
  </si>
  <si>
    <t>属地员工各项分类</t>
  </si>
  <si>
    <t>加班费（含在浮动工资里）</t>
  </si>
  <si>
    <t>CPF（含固定工资、浮动工资）</t>
  </si>
  <si>
    <t>属地员工/拟实发工资汇总</t>
  </si>
  <si>
    <t>RMB</t>
    <phoneticPr fontId="4" type="noConversion"/>
  </si>
  <si>
    <t>SGD</t>
    <phoneticPr fontId="4" type="noConversion"/>
  </si>
  <si>
    <t>扣发</t>
    <phoneticPr fontId="4" type="noConversion"/>
  </si>
  <si>
    <t>应发工资</t>
    <phoneticPr fontId="4" type="noConversion"/>
  </si>
  <si>
    <t>应发工资
（SGD）</t>
    <phoneticPr fontId="4" type="noConversion"/>
  </si>
  <si>
    <t>合计(SGD)</t>
    <phoneticPr fontId="4" type="noConversion"/>
  </si>
  <si>
    <t>实发工资
（SGD）</t>
    <phoneticPr fontId="4" type="noConversion"/>
  </si>
  <si>
    <t>补贴合计</t>
    <phoneticPr fontId="4" type="noConversion"/>
  </si>
  <si>
    <t>其他
（RMB）</t>
    <phoneticPr fontId="4" type="noConversion"/>
  </si>
  <si>
    <t>制表：</t>
    <phoneticPr fontId="4" type="noConversion"/>
  </si>
  <si>
    <t>折算汇率</t>
    <phoneticPr fontId="4" type="noConversion"/>
  </si>
  <si>
    <t>房租</t>
    <phoneticPr fontId="4" type="noConversion"/>
  </si>
  <si>
    <t>调整房租</t>
    <phoneticPr fontId="4" type="noConversion"/>
  </si>
  <si>
    <t>调整后的房租</t>
    <phoneticPr fontId="4" type="noConversion"/>
  </si>
  <si>
    <t>奖金</t>
    <phoneticPr fontId="4" type="noConversion"/>
  </si>
  <si>
    <t>其他工资</t>
    <phoneticPr fontId="4" type="noConversion"/>
  </si>
  <si>
    <t>序号</t>
    <phoneticPr fontId="4" type="noConversion"/>
  </si>
  <si>
    <t>实发工资</t>
    <phoneticPr fontId="4" type="noConversion"/>
  </si>
  <si>
    <t>扣CPF</t>
    <phoneticPr fontId="4" type="noConversion"/>
  </si>
  <si>
    <t>扣发调整</t>
    <phoneticPr fontId="4" type="noConversion"/>
  </si>
  <si>
    <t>个人CPF扣除</t>
  </si>
  <si>
    <t>基本工资、岗位工
资、补贴及其他合计</t>
  </si>
  <si>
    <t>批准：</t>
  </si>
  <si>
    <t>补贴</t>
  </si>
  <si>
    <t>年终奖</t>
  </si>
  <si>
    <t>假期工资</t>
  </si>
  <si>
    <t>奖励金</t>
  </si>
  <si>
    <t>周维</t>
  </si>
  <si>
    <t>奖金预支（SGD）</t>
  </si>
  <si>
    <t>BAI TING</t>
  </si>
  <si>
    <t>ZHANG HAO</t>
  </si>
  <si>
    <t>李江</t>
  </si>
  <si>
    <t>秦傲寒</t>
  </si>
  <si>
    <t>钟音</t>
  </si>
  <si>
    <t>蔡昊成</t>
  </si>
  <si>
    <t>王华亮</t>
  </si>
  <si>
    <t>THAM KUAN CHIN</t>
  </si>
  <si>
    <t>LIU JUNZHAO</t>
  </si>
  <si>
    <t>WU SHENGQI</t>
  </si>
  <si>
    <t>2026年1月份工资发放计算表（属地员工）-SGD</t>
  </si>
  <si>
    <t>于志强</t>
  </si>
  <si>
    <t>ZHENG WANGYUN</t>
  </si>
  <si>
    <t>中国船级社国际有限公司（暂由新加坡分社代发）</t>
  </si>
  <si>
    <t>中国船级社国际有限公司</t>
  </si>
  <si>
    <t>2026年1月份工资发放计算表（外派员工）</t>
  </si>
  <si>
    <t>Name of Employer</t>
  </si>
  <si>
    <t>Wu Shengqi</t>
  </si>
  <si>
    <t>Date of Payment</t>
  </si>
  <si>
    <t>驾车</t>
  </si>
  <si>
    <t>外勤</t>
  </si>
  <si>
    <t>应发工资</t>
  </si>
  <si>
    <t>扣除</t>
  </si>
  <si>
    <t>个人CPF</t>
  </si>
  <si>
    <t>Pay Period</t>
  </si>
  <si>
    <t>1 Jan 2026 - 31 Jan 2026</t>
  </si>
  <si>
    <t>加班  (hours x $$)</t>
  </si>
  <si>
    <t>实发工资</t>
  </si>
  <si>
    <t>9,10,11</t>
  </si>
  <si>
    <t>金额</t>
  </si>
  <si>
    <t>China Classification Society International Pte Ltd</t>
  </si>
  <si>
    <t>手动</t>
  </si>
  <si>
    <t>项目</t>
  </si>
  <si>
    <t>邮箱</t>
  </si>
  <si>
    <t>zlchen@ccs.org.cn</t>
  </si>
  <si>
    <t>y_chen@ccs.org.cn</t>
  </si>
  <si>
    <t>yzfan@ccs.org.cn</t>
  </si>
  <si>
    <t>lliao@ccs.org.cn</t>
  </si>
  <si>
    <t>yuzhiqiang@ccs.org.cn</t>
  </si>
  <si>
    <t>wanghualiang@ccs.org.cn</t>
  </si>
  <si>
    <t>zxhan@ccs.org.cn</t>
  </si>
  <si>
    <t>niwf@ccs.org.cn</t>
  </si>
  <si>
    <t>zhouwei@ccs.org.cn</t>
  </si>
  <si>
    <t>kmle@ccs.org.cn</t>
  </si>
  <si>
    <t>yzhong@ccs.org.cn</t>
  </si>
  <si>
    <t>lijiang@ccs.org.cn</t>
  </si>
  <si>
    <t>ahqin@ccs.org.cn</t>
  </si>
  <si>
    <t>haochengcai@ccs.org.cn</t>
  </si>
  <si>
    <t>wushengqi@ccs.org.cn</t>
  </si>
  <si>
    <t>yjteo@ccs.org.cn</t>
  </si>
  <si>
    <t>haozhang@ccs.org.cn</t>
  </si>
  <si>
    <t>bbsoo@ccs.org.cn</t>
  </si>
  <si>
    <t>mmwang@ccs.org.cn</t>
  </si>
  <si>
    <t>ssun@ccs.org.cn</t>
  </si>
  <si>
    <t>tbai@ccs.org.cn</t>
  </si>
  <si>
    <t>liujunzhao@ccs.org.cn</t>
  </si>
  <si>
    <t>wyzheng@ccs.org.cn</t>
  </si>
  <si>
    <t>kctham@ccs.org.cn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</si>
</sst>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_ "/>
    <numFmt numFmtId="165" formatCode="0_);[Red]\(0\)"/>
    <numFmt numFmtId="166" formatCode="_ * #,##0_ ;_ * \-#,##0_ ;_ * &quot;-&quot;??_ ;_ @_ "/>
    <numFmt numFmtId="167" formatCode="#,##0_ "/>
    <numFmt numFmtId="168" formatCode="#,##0.00000_ "/>
    <numFmt numFmtId="169" formatCode="#,##0.00_ "/>
    <numFmt numFmtId="170" formatCode="0.0000"/>
  </numFmts>
  <fonts count="2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9"/>
      <name val="Calibri"/>
      <family val="2"/>
      <charset val="134"/>
      <scheme val="minor"/>
    </font>
    <font>
      <sz val="14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8.5"/>
      <name val="宋体"/>
      <family val="3"/>
      <charset val="134"/>
    </font>
    <font>
      <sz val="9"/>
      <color theme="0" tint="-0.34998626667073579"/>
      <name val="宋体"/>
      <family val="3"/>
      <charset val="134"/>
    </font>
    <font>
      <sz val="9"/>
      <name val="Times New Roman"/>
      <family val="1"/>
    </font>
    <font>
      <sz val="10"/>
      <name val="宋体"/>
      <family val="3"/>
      <charset val="134"/>
    </font>
    <font>
      <sz val="9"/>
      <color theme="1"/>
      <name val="宋体"/>
      <family val="3"/>
      <charset val="134"/>
    </font>
    <font>
      <sz val="8"/>
      <name val="宋体"/>
      <family val="3"/>
      <charset val="134"/>
    </font>
    <font>
      <sz val="8"/>
      <color theme="1"/>
      <name val="宋体"/>
      <family val="3"/>
      <charset val="134"/>
    </font>
    <font>
      <sz val="9"/>
      <name val="宋体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sz val="10"/>
      <color rgb="FFFF0000"/>
      <name val="宋体"/>
      <family val="3"/>
      <charset val="134"/>
    </font>
    <font>
      <sz val="8.5"/>
      <name val="宋体"/>
      <charset val="134"/>
    </font>
    <font>
      <sz val="9"/>
      <color rgb="FFFF0000"/>
      <name val="宋体"/>
      <charset val="134"/>
    </font>
    <font>
      <sz val="10"/>
      <color theme="1"/>
      <name val="宋体"/>
      <charset val="13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40" fontId="6" fillId="0" borderId="0" xfId="3" applyNumberFormat="1" applyFont="1" applyBorder="1" applyAlignment="1">
      <alignment horizontal="right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165" fontId="7" fillId="0" borderId="2" xfId="2" applyNumberFormat="1" applyFont="1" applyBorder="1" applyAlignment="1">
      <alignment horizontal="center" vertical="center" wrapText="1"/>
    </xf>
    <xf numFmtId="166" fontId="7" fillId="0" borderId="2" xfId="3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38" fontId="6" fillId="2" borderId="2" xfId="3" applyNumberFormat="1" applyFont="1" applyFill="1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0" borderId="0" xfId="2" applyFont="1"/>
    <xf numFmtId="166" fontId="6" fillId="0" borderId="2" xfId="3" applyNumberFormat="1" applyFont="1" applyBorder="1" applyAlignment="1">
      <alignment horizontal="right" vertical="center" wrapText="1"/>
    </xf>
    <xf numFmtId="0" fontId="6" fillId="0" borderId="7" xfId="2" applyFont="1" applyBorder="1" applyAlignment="1">
      <alignment horizontal="center" vertical="center"/>
    </xf>
    <xf numFmtId="166" fontId="6" fillId="0" borderId="7" xfId="3" applyNumberFormat="1" applyFont="1" applyBorder="1" applyAlignment="1">
      <alignment horizontal="right" vertical="center" wrapText="1"/>
    </xf>
    <xf numFmtId="166" fontId="6" fillId="0" borderId="0" xfId="3" applyNumberFormat="1" applyFont="1" applyBorder="1" applyAlignment="1">
      <alignment horizontal="right" vertical="center" wrapText="1"/>
    </xf>
    <xf numFmtId="166" fontId="6" fillId="0" borderId="0" xfId="3" applyNumberFormat="1" applyFont="1" applyBorder="1" applyAlignment="1">
      <alignment horizontal="center" vertical="center" wrapText="1"/>
    </xf>
    <xf numFmtId="166" fontId="6" fillId="0" borderId="0" xfId="3" applyNumberFormat="1" applyFont="1" applyBorder="1" applyAlignment="1">
      <alignment vertical="center" wrapText="1"/>
    </xf>
    <xf numFmtId="167" fontId="11" fillId="0" borderId="0" xfId="2" applyNumberFormat="1" applyFont="1" applyAlignment="1">
      <alignment vertical="center" wrapText="1"/>
    </xf>
    <xf numFmtId="168" fontId="11" fillId="0" borderId="0" xfId="2" applyNumberFormat="1" applyFont="1" applyAlignment="1">
      <alignment vertical="center" wrapText="1"/>
    </xf>
    <xf numFmtId="165" fontId="6" fillId="0" borderId="0" xfId="2" applyNumberFormat="1" applyFont="1"/>
    <xf numFmtId="165" fontId="6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0" fontId="6" fillId="4" borderId="2" xfId="2" applyFont="1" applyFill="1" applyBorder="1" applyAlignment="1">
      <alignment horizontal="right" vertical="center"/>
    </xf>
    <xf numFmtId="0" fontId="12" fillId="0" borderId="2" xfId="2" applyFont="1" applyBorder="1" applyAlignment="1">
      <alignment horizontal="right" vertical="center"/>
    </xf>
    <xf numFmtId="166" fontId="7" fillId="0" borderId="0" xfId="3" applyNumberFormat="1" applyFont="1" applyBorder="1" applyAlignment="1" applyProtection="1">
      <alignment horizontal="center" vertical="center"/>
      <protection locked="0"/>
    </xf>
    <xf numFmtId="166" fontId="6" fillId="0" borderId="0" xfId="3" applyNumberFormat="1" applyFont="1" applyBorder="1" applyAlignment="1">
      <alignment horizontal="left" vertical="center" wrapText="1"/>
    </xf>
    <xf numFmtId="167" fontId="7" fillId="0" borderId="0" xfId="2" applyNumberFormat="1" applyFont="1" applyAlignment="1">
      <alignment horizontal="right" vertical="center" wrapText="1"/>
    </xf>
    <xf numFmtId="169" fontId="7" fillId="0" borderId="0" xfId="2" applyNumberFormat="1" applyFont="1" applyAlignment="1">
      <alignment horizontal="right" vertical="center"/>
    </xf>
    <xf numFmtId="169" fontId="6" fillId="0" borderId="0" xfId="2" applyNumberFormat="1" applyFont="1" applyAlignment="1">
      <alignment horizontal="right" vertical="center"/>
    </xf>
    <xf numFmtId="166" fontId="6" fillId="2" borderId="2" xfId="1" applyNumberFormat="1" applyFont="1" applyFill="1" applyBorder="1" applyAlignment="1">
      <alignment horizontal="right" vertical="center" wrapText="1"/>
    </xf>
    <xf numFmtId="0" fontId="6" fillId="4" borderId="2" xfId="2" applyFont="1" applyFill="1" applyBorder="1" applyAlignment="1">
      <alignment horizontal="right" vertical="center" wrapText="1"/>
    </xf>
    <xf numFmtId="166" fontId="7" fillId="0" borderId="2" xfId="3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 wrapText="1"/>
    </xf>
    <xf numFmtId="166" fontId="6" fillId="0" borderId="2" xfId="1" applyNumberFormat="1" applyFont="1" applyBorder="1" applyAlignment="1">
      <alignment horizontal="right" vertical="center" wrapText="1"/>
    </xf>
    <xf numFmtId="166" fontId="7" fillId="0" borderId="2" xfId="3" applyNumberFormat="1" applyFont="1" applyBorder="1" applyAlignment="1" applyProtection="1">
      <alignment horizontal="center" vertical="center" shrinkToFit="1"/>
      <protection locked="0"/>
    </xf>
    <xf numFmtId="165" fontId="8" fillId="0" borderId="2" xfId="2" applyNumberFormat="1" applyFont="1" applyBorder="1" applyAlignment="1">
      <alignment horizontal="center" vertical="center" shrinkToFit="1"/>
    </xf>
    <xf numFmtId="0" fontId="6" fillId="0" borderId="5" xfId="2" applyFont="1" applyBorder="1" applyAlignment="1">
      <alignment horizontal="center" vertical="center"/>
    </xf>
    <xf numFmtId="166" fontId="6" fillId="0" borderId="6" xfId="3" applyNumberFormat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shrinkToFit="1"/>
    </xf>
    <xf numFmtId="166" fontId="6" fillId="2" borderId="2" xfId="1" applyNumberFormat="1" applyFont="1" applyFill="1" applyBorder="1" applyAlignment="1">
      <alignment horizontal="right" vertical="center" shrinkToFit="1"/>
    </xf>
    <xf numFmtId="2" fontId="6" fillId="2" borderId="2" xfId="3" applyNumberFormat="1" applyFont="1" applyFill="1" applyBorder="1" applyAlignment="1">
      <alignment horizontal="right" vertical="center" shrinkToFit="1"/>
    </xf>
    <xf numFmtId="166" fontId="6" fillId="0" borderId="2" xfId="1" applyNumberFormat="1" applyFont="1" applyBorder="1" applyAlignment="1">
      <alignment horizontal="right" vertical="center" shrinkToFit="1"/>
    </xf>
    <xf numFmtId="166" fontId="6" fillId="0" borderId="2" xfId="3" applyNumberFormat="1" applyFont="1" applyBorder="1" applyAlignment="1">
      <alignment horizontal="center" vertical="center" shrinkToFit="1"/>
    </xf>
    <xf numFmtId="38" fontId="6" fillId="0" borderId="2" xfId="3" applyNumberFormat="1" applyFont="1" applyBorder="1" applyAlignment="1">
      <alignment horizontal="right" vertical="center" shrinkToFit="1"/>
    </xf>
    <xf numFmtId="0" fontId="10" fillId="0" borderId="2" xfId="2" applyFont="1" applyBorder="1" applyAlignment="1">
      <alignment horizontal="center" vertical="center" shrinkToFit="1"/>
    </xf>
    <xf numFmtId="166" fontId="6" fillId="2" borderId="2" xfId="3" applyNumberFormat="1" applyFont="1" applyFill="1" applyBorder="1" applyAlignment="1">
      <alignment horizontal="right" vertical="center" shrinkToFit="1"/>
    </xf>
    <xf numFmtId="38" fontId="6" fillId="0" borderId="2" xfId="2" applyNumberFormat="1" applyFont="1" applyBorder="1" applyAlignment="1">
      <alignment horizontal="center" vertical="center" shrinkToFit="1"/>
    </xf>
    <xf numFmtId="166" fontId="6" fillId="0" borderId="2" xfId="3" applyNumberFormat="1" applyFont="1" applyBorder="1" applyAlignment="1">
      <alignment horizontal="right" vertical="center" shrinkToFit="1"/>
    </xf>
    <xf numFmtId="0" fontId="11" fillId="0" borderId="0" xfId="2" applyFont="1" applyAlignment="1">
      <alignment vertical="center"/>
    </xf>
    <xf numFmtId="0" fontId="13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165" fontId="8" fillId="0" borderId="2" xfId="2" applyNumberFormat="1" applyFont="1" applyBorder="1" applyAlignment="1">
      <alignment horizontal="right" vertical="center" shrinkToFit="1"/>
    </xf>
    <xf numFmtId="40" fontId="6" fillId="0" borderId="2" xfId="3" applyNumberFormat="1" applyFont="1" applyBorder="1" applyAlignment="1">
      <alignment horizontal="right" vertical="center" wrapText="1"/>
    </xf>
    <xf numFmtId="166" fontId="6" fillId="0" borderId="6" xfId="1" applyNumberFormat="1" applyFont="1" applyBorder="1" applyAlignment="1">
      <alignment horizontal="center" vertical="center"/>
    </xf>
    <xf numFmtId="166" fontId="7" fillId="0" borderId="6" xfId="3" applyNumberFormat="1" applyFont="1" applyBorder="1" applyAlignment="1" applyProtection="1">
      <alignment horizontal="center" vertical="center" wrapText="1"/>
      <protection locked="0"/>
    </xf>
    <xf numFmtId="166" fontId="6" fillId="2" borderId="2" xfId="1" applyNumberFormat="1" applyFont="1" applyFill="1" applyBorder="1" applyAlignment="1">
      <alignment vertical="center" wrapText="1"/>
    </xf>
    <xf numFmtId="38" fontId="6" fillId="2" borderId="2" xfId="1" applyNumberFormat="1" applyFont="1" applyFill="1" applyBorder="1" applyAlignment="1">
      <alignment horizontal="left" vertical="center" wrapText="1"/>
    </xf>
    <xf numFmtId="166" fontId="6" fillId="0" borderId="2" xfId="3" applyNumberFormat="1" applyFont="1" applyBorder="1" applyAlignment="1">
      <alignment horizontal="left" vertical="center" wrapText="1"/>
    </xf>
    <xf numFmtId="167" fontId="7" fillId="0" borderId="0" xfId="2" applyNumberFormat="1" applyFont="1" applyAlignment="1">
      <alignment vertical="center" wrapText="1"/>
    </xf>
    <xf numFmtId="166" fontId="6" fillId="0" borderId="2" xfId="1" applyNumberFormat="1" applyFont="1" applyFill="1" applyBorder="1" applyAlignment="1">
      <alignment horizontal="right" vertical="center" shrinkToFit="1"/>
    </xf>
    <xf numFmtId="0" fontId="14" fillId="0" borderId="2" xfId="2" applyFont="1" applyBorder="1" applyAlignment="1">
      <alignment horizontal="left" vertical="center" wrapText="1"/>
    </xf>
    <xf numFmtId="38" fontId="15" fillId="2" borderId="2" xfId="1" applyNumberFormat="1" applyFont="1" applyFill="1" applyBorder="1" applyAlignment="1">
      <alignment horizontal="right" vertical="center" wrapText="1"/>
    </xf>
    <xf numFmtId="166" fontId="15" fillId="2" borderId="2" xfId="3" applyNumberFormat="1" applyFont="1" applyFill="1" applyBorder="1" applyAlignment="1">
      <alignment horizontal="center" vertical="center" wrapText="1"/>
    </xf>
    <xf numFmtId="38" fontId="15" fillId="2" borderId="2" xfId="3" applyNumberFormat="1" applyFont="1" applyFill="1" applyBorder="1" applyAlignment="1">
      <alignment horizontal="right" vertical="center" wrapText="1"/>
    </xf>
    <xf numFmtId="38" fontId="15" fillId="0" borderId="2" xfId="1" applyNumberFormat="1" applyFont="1" applyBorder="1" applyAlignment="1">
      <alignment horizontal="right" vertical="center" wrapText="1"/>
    </xf>
    <xf numFmtId="0" fontId="15" fillId="0" borderId="2" xfId="2" applyFont="1" applyBorder="1" applyAlignment="1">
      <alignment horizontal="center" vertical="center"/>
    </xf>
    <xf numFmtId="166" fontId="15" fillId="0" borderId="2" xfId="3" applyNumberFormat="1" applyFont="1" applyBorder="1" applyAlignment="1">
      <alignment horizontal="center" vertical="center" wrapText="1"/>
    </xf>
    <xf numFmtId="38" fontId="15" fillId="0" borderId="2" xfId="3" applyNumberFormat="1" applyFont="1" applyBorder="1" applyAlignment="1">
      <alignment horizontal="right" vertical="center" wrapText="1"/>
    </xf>
    <xf numFmtId="0" fontId="15" fillId="2" borderId="2" xfId="2" applyFont="1" applyFill="1" applyBorder="1" applyAlignment="1">
      <alignment horizontal="center" vertical="center"/>
    </xf>
    <xf numFmtId="38" fontId="16" fillId="0" borderId="2" xfId="3" applyNumberFormat="1" applyFont="1" applyFill="1" applyBorder="1" applyAlignment="1">
      <alignment horizontal="right" vertical="center" wrapText="1"/>
    </xf>
    <xf numFmtId="166" fontId="17" fillId="0" borderId="2" xfId="3" applyNumberFormat="1" applyFont="1" applyBorder="1" applyAlignment="1" applyProtection="1">
      <alignment horizontal="center" vertical="center"/>
      <protection locked="0"/>
    </xf>
    <xf numFmtId="38" fontId="17" fillId="2" borderId="2" xfId="3" applyNumberFormat="1" applyFont="1" applyFill="1" applyBorder="1" applyAlignment="1">
      <alignment horizontal="right" vertical="center" wrapText="1"/>
    </xf>
    <xf numFmtId="40" fontId="9" fillId="0" borderId="2" xfId="3" applyNumberFormat="1" applyFont="1" applyBorder="1" applyAlignment="1">
      <alignment horizontal="right" vertical="center" wrapText="1"/>
    </xf>
    <xf numFmtId="40" fontId="17" fillId="0" borderId="2" xfId="3" applyNumberFormat="1" applyFont="1" applyBorder="1" applyAlignment="1">
      <alignment horizontal="right" vertical="center" wrapText="1"/>
    </xf>
    <xf numFmtId="166" fontId="17" fillId="2" borderId="2" xfId="1" applyNumberFormat="1" applyFont="1" applyFill="1" applyBorder="1" applyAlignment="1">
      <alignment horizontal="right" vertical="center" shrinkToFit="1"/>
    </xf>
    <xf numFmtId="166" fontId="17" fillId="2" borderId="2" xfId="1" applyNumberFormat="1" applyFont="1" applyFill="1" applyBorder="1" applyAlignment="1">
      <alignment vertical="center" wrapText="1"/>
    </xf>
    <xf numFmtId="0" fontId="18" fillId="3" borderId="0" xfId="2" applyFont="1" applyFill="1" applyAlignment="1">
      <alignment vertical="center"/>
    </xf>
    <xf numFmtId="38" fontId="15" fillId="0" borderId="2" xfId="3" applyNumberFormat="1" applyFont="1" applyFill="1" applyBorder="1" applyAlignment="1">
      <alignment horizontal="right" vertical="center" wrapText="1"/>
    </xf>
    <xf numFmtId="166" fontId="15" fillId="0" borderId="2" xfId="3" applyNumberFormat="1" applyFont="1" applyFill="1" applyBorder="1" applyAlignment="1">
      <alignment horizontal="center" vertical="center" wrapText="1"/>
    </xf>
    <xf numFmtId="2" fontId="6" fillId="0" borderId="2" xfId="3" applyNumberFormat="1" applyFont="1" applyFill="1" applyBorder="1" applyAlignment="1">
      <alignment horizontal="right" vertical="center" shrinkToFit="1"/>
    </xf>
    <xf numFmtId="38" fontId="15" fillId="0" borderId="2" xfId="1" applyNumberFormat="1" applyFont="1" applyFill="1" applyBorder="1" applyAlignment="1">
      <alignment horizontal="right" vertical="center" wrapText="1"/>
    </xf>
    <xf numFmtId="38" fontId="6" fillId="0" borderId="2" xfId="3" applyNumberFormat="1" applyFont="1" applyFill="1" applyBorder="1" applyAlignment="1">
      <alignment horizontal="right" vertical="center" shrinkToFit="1"/>
    </xf>
    <xf numFmtId="38" fontId="16" fillId="0" borderId="2" xfId="1" applyNumberFormat="1" applyFont="1" applyFill="1" applyBorder="1" applyAlignment="1">
      <alignment horizontal="right" vertical="center" wrapText="1"/>
    </xf>
    <xf numFmtId="0" fontId="19" fillId="0" borderId="2" xfId="2" applyFont="1" applyBorder="1" applyAlignment="1">
      <alignment horizontal="center" vertical="center"/>
    </xf>
    <xf numFmtId="40" fontId="17" fillId="0" borderId="2" xfId="3" applyNumberFormat="1" applyFont="1" applyFill="1" applyBorder="1" applyAlignment="1">
      <alignment horizontal="right" vertical="center" wrapText="1"/>
    </xf>
    <xf numFmtId="170" fontId="15" fillId="2" borderId="2" xfId="3" applyNumberFormat="1" applyFont="1" applyFill="1" applyBorder="1" applyAlignment="1">
      <alignment horizontal="right" vertical="center" wrapText="1"/>
    </xf>
    <xf numFmtId="166" fontId="6" fillId="0" borderId="2" xfId="1" applyNumberFormat="1" applyFont="1" applyFill="1" applyBorder="1" applyAlignment="1">
      <alignment horizontal="right" vertical="center" wrapText="1"/>
    </xf>
    <xf numFmtId="38" fontId="6" fillId="0" borderId="2" xfId="3" applyNumberFormat="1" applyFont="1" applyFill="1" applyBorder="1" applyAlignment="1">
      <alignment horizontal="right" vertical="center" wrapText="1"/>
    </xf>
    <xf numFmtId="38" fontId="20" fillId="0" borderId="2" xfId="3" applyNumberFormat="1" applyFont="1" applyFill="1" applyBorder="1" applyAlignment="1">
      <alignment horizontal="right" vertical="center" wrapText="1"/>
    </xf>
    <xf numFmtId="166" fontId="12" fillId="0" borderId="2" xfId="1" applyNumberFormat="1" applyFont="1" applyFill="1" applyBorder="1" applyAlignment="1">
      <alignment horizontal="right" vertical="center" wrapText="1"/>
    </xf>
    <xf numFmtId="167" fontId="11" fillId="0" borderId="0" xfId="2" applyNumberFormat="1" applyFont="1" applyAlignment="1">
      <alignment horizontal="left" vertical="center" wrapText="1"/>
    </xf>
    <xf numFmtId="164" fontId="3" fillId="0" borderId="0" xfId="2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3" fillId="0" borderId="0" xfId="2" applyFont="1" applyAlignment="1">
      <alignment horizontal="center" vertical="center"/>
    </xf>
    <xf numFmtId="0" fontId="25" fillId="0" borderId="2" xfId="4" applyBorder="1" applyAlignment="1">
      <alignment horizontal="left" vertical="center" wrapText="1"/>
    </xf>
    <xf numFmtId="0" fontId="25" fillId="0" borderId="2" xfId="4" applyBorder="1" applyAlignment="1">
      <alignment vertical="center" wrapText="1"/>
    </xf>
    <xf numFmtId="38" fontId="25" fillId="2" borderId="2" xfId="4" applyNumberFormat="1" applyFill="1" applyBorder="1" applyAlignment="1">
      <alignment horizontal="left" vertical="center" wrapText="1"/>
    </xf>
    <xf numFmtId="165" fontId="7" fillId="0" borderId="2" xfId="2" applyNumberFormat="1" applyFont="1" applyBorder="1" applyAlignment="1">
      <alignment horizontal="center" vertical="center" wrapText="1"/>
    </xf>
    <xf numFmtId="43" fontId="6" fillId="2" borderId="7" xfId="2" applyNumberFormat="1" applyFont="1" applyFill="1" applyBorder="1" applyAlignment="1">
      <alignment horizontal="right" vertical="center" indent="1"/>
    </xf>
    <xf numFmtId="0" fontId="6" fillId="2" borderId="7" xfId="2" applyFont="1" applyFill="1" applyBorder="1" applyAlignment="1">
      <alignment horizontal="right" vertical="center" indent="1"/>
    </xf>
    <xf numFmtId="167" fontId="11" fillId="0" borderId="0" xfId="2" applyNumberFormat="1" applyFont="1" applyAlignment="1">
      <alignment horizontal="left" vertical="center" wrapText="1"/>
    </xf>
    <xf numFmtId="0" fontId="7" fillId="0" borderId="2" xfId="2" applyFont="1" applyBorder="1" applyAlignment="1">
      <alignment horizontal="center" vertical="center" wrapText="1"/>
    </xf>
    <xf numFmtId="165" fontId="7" fillId="0" borderId="3" xfId="2" applyNumberFormat="1" applyFont="1" applyBorder="1" applyAlignment="1">
      <alignment horizontal="center" vertical="center" wrapText="1"/>
    </xf>
    <xf numFmtId="165" fontId="7" fillId="0" borderId="4" xfId="2" applyNumberFormat="1" applyFont="1" applyBorder="1" applyAlignment="1">
      <alignment horizontal="center" vertical="center" wrapText="1"/>
    </xf>
    <xf numFmtId="165" fontId="7" fillId="0" borderId="5" xfId="2" applyNumberFormat="1" applyFont="1" applyBorder="1" applyAlignment="1">
      <alignment horizontal="center" vertical="center" wrapText="1"/>
    </xf>
    <xf numFmtId="164" fontId="3" fillId="0" borderId="0" xfId="2" applyNumberFormat="1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7" fontId="7" fillId="0" borderId="0" xfId="2" applyNumberFormat="1" applyFont="1" applyAlignment="1">
      <alignment horizontal="right" vertical="center" wrapText="1"/>
    </xf>
    <xf numFmtId="0" fontId="7" fillId="0" borderId="2" xfId="2" applyFont="1" applyBorder="1" applyAlignment="1">
      <alignment horizontal="center" vertical="center"/>
    </xf>
    <xf numFmtId="166" fontId="7" fillId="0" borderId="2" xfId="3" applyNumberFormat="1" applyFont="1" applyBorder="1" applyAlignment="1" applyProtection="1">
      <alignment horizontal="center" vertical="center"/>
      <protection locked="0"/>
    </xf>
    <xf numFmtId="0" fontId="7" fillId="2" borderId="2" xfId="2" applyFont="1" applyFill="1" applyBorder="1" applyAlignment="1">
      <alignment horizontal="center" vertical="center"/>
    </xf>
    <xf numFmtId="167" fontId="21" fillId="0" borderId="0" xfId="2" applyNumberFormat="1" applyFont="1" applyAlignment="1">
      <alignment horizontal="left" vertical="center" wrapText="1"/>
    </xf>
    <xf numFmtId="0" fontId="6" fillId="0" borderId="7" xfId="2" applyFont="1" applyBorder="1" applyAlignment="1">
      <alignment horizontal="right" vertical="center"/>
    </xf>
    <xf numFmtId="166" fontId="7" fillId="0" borderId="3" xfId="3" applyNumberFormat="1" applyFont="1" applyBorder="1" applyAlignment="1" applyProtection="1">
      <alignment horizontal="center" vertical="center"/>
      <protection locked="0"/>
    </xf>
    <xf numFmtId="166" fontId="7" fillId="0" borderId="5" xfId="3" applyNumberFormat="1" applyFont="1" applyBorder="1" applyAlignment="1" applyProtection="1">
      <alignment horizontal="center" vertical="center"/>
      <protection locked="0"/>
    </xf>
  </cellXfs>
  <cellStyles count="5">
    <cellStyle name="Comma" xfId="1" builtinId="3"/>
    <cellStyle name="Hyperlink" xfId="4" builtinId="8"/>
    <cellStyle name="Normal" xfId="0" builtinId="0"/>
    <cellStyle name="千位分隔 2 2" xfId="3" xr:uid="{341646E3-6100-4F41-A739-71169FC8E999}"/>
    <cellStyle name="常规 2 2" xfId="2" xr:uid="{B4888E35-EC8A-4671-A28E-CE4C76A06D04}"/>
  </cellStyles>
  <dxfs count="1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2137151</xdr:colOff>
      <xdr:row>0</xdr:row>
      <xdr:rowOff>6381</xdr:rowOff>
    </xdr:from>
    <xdr:to>
      <xdr:col>3</xdr:col>
      <xdr:colOff>58875</xdr:colOff>
      <xdr:row>4</xdr:row>
      <xdr:rowOff>6487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EC5E3-9ABA-6ED5-D85A-E94324A37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98000"/>
        </a:blip>
        <a:stretch>
          <a:fillRect/>
        </a:stretch>
      </xdr:blipFill>
      <xdr:spPr>
        <a:xfrm>
          <a:off x="5257410" y="6381"/>
          <a:ext cx="1028844" cy="762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wf@ccs.org.cn" TargetMode="External"/><Relationship Id="rId3" Type="http://schemas.openxmlformats.org/officeDocument/2006/relationships/hyperlink" Target="mailto:yzfan@ccs.org.cn" TargetMode="External"/><Relationship Id="rId7" Type="http://schemas.openxmlformats.org/officeDocument/2006/relationships/hyperlink" Target="mailto:zxhan@ccs.org.cn" TargetMode="External"/><Relationship Id="rId2" Type="http://schemas.openxmlformats.org/officeDocument/2006/relationships/hyperlink" Target="mailto:y_chen@ccs.org.cn" TargetMode="External"/><Relationship Id="rId1" Type="http://schemas.openxmlformats.org/officeDocument/2006/relationships/hyperlink" Target="mailto:zlchen@ccs.org.cn" TargetMode="External"/><Relationship Id="rId6" Type="http://schemas.openxmlformats.org/officeDocument/2006/relationships/hyperlink" Target="mailto:wanghualiang@ccs.org.c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yuzhiqiang@ccs.org.cn" TargetMode="External"/><Relationship Id="rId10" Type="http://schemas.openxmlformats.org/officeDocument/2006/relationships/hyperlink" Target="mailto:kmle@ccs.org.cn" TargetMode="External"/><Relationship Id="rId4" Type="http://schemas.openxmlformats.org/officeDocument/2006/relationships/hyperlink" Target="mailto:lliao@ccs.org.cn" TargetMode="External"/><Relationship Id="rId9" Type="http://schemas.openxmlformats.org/officeDocument/2006/relationships/hyperlink" Target="mailto:zhouwei@ccs.org.c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hqin@ccs.org.cn" TargetMode="External"/><Relationship Id="rId2" Type="http://schemas.openxmlformats.org/officeDocument/2006/relationships/hyperlink" Target="mailto:lijiang@ccs.org.cn" TargetMode="External"/><Relationship Id="rId1" Type="http://schemas.openxmlformats.org/officeDocument/2006/relationships/hyperlink" Target="mailto:yzhong@ccs.org.c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haochengcai@ccs.org.c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ssun@ccs.org.cn" TargetMode="External"/><Relationship Id="rId7" Type="http://schemas.openxmlformats.org/officeDocument/2006/relationships/hyperlink" Target="mailto:kctham@ccs.org.cn" TargetMode="External"/><Relationship Id="rId2" Type="http://schemas.openxmlformats.org/officeDocument/2006/relationships/hyperlink" Target="mailto:mmwang@ccs.org.cn" TargetMode="External"/><Relationship Id="rId1" Type="http://schemas.openxmlformats.org/officeDocument/2006/relationships/hyperlink" Target="mailto:bbsoo@ccs.org.cn" TargetMode="External"/><Relationship Id="rId6" Type="http://schemas.openxmlformats.org/officeDocument/2006/relationships/hyperlink" Target="mailto:wyzheng@ccs.org.cn" TargetMode="External"/><Relationship Id="rId5" Type="http://schemas.openxmlformats.org/officeDocument/2006/relationships/hyperlink" Target="mailto:liujunzhao@ccs.org.cn" TargetMode="External"/><Relationship Id="rId4" Type="http://schemas.openxmlformats.org/officeDocument/2006/relationships/hyperlink" Target="mailto:tbai@ccs.org.c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aozhang@ccs.org.c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yjteo@ccs.org.cn" TargetMode="External"/><Relationship Id="rId1" Type="http://schemas.openxmlformats.org/officeDocument/2006/relationships/hyperlink" Target="mailto:wushengqi@ccs.org.c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DDB6-95A2-4DAE-98E5-5EDBEA0E57D5}">
  <sheetPr>
    <pageSetUpPr fitToPage="1"/>
  </sheetPr>
  <dimension ref="A1:BG45"/>
  <sheetViews>
    <sheetView tabSelected="1" zoomScale="85" zoomScaleNormal="85" workbookViewId="0">
      <selection activeCell="H8" sqref="H8"/>
    </sheetView>
  </sheetViews>
  <sheetFormatPr baseColWidth="10" defaultColWidth="10" defaultRowHeight="13"/>
  <cols>
    <col min="1" max="1" width="5" style="15" customWidth="1"/>
    <col min="2" max="2" width="12.33203125" style="15" customWidth="1"/>
    <col min="3" max="3" width="4.33203125" style="15" customWidth="1"/>
    <col min="4" max="4" width="6.83203125" style="15" customWidth="1"/>
    <col min="5" max="5" width="4.83203125" style="15" customWidth="1"/>
    <col min="6" max="6" width="6.83203125" style="24" customWidth="1"/>
    <col min="7" max="7" width="5" style="24" customWidth="1"/>
    <col min="8" max="8" width="7.33203125" style="24" customWidth="1"/>
    <col min="9" max="9" width="5.33203125" style="25" customWidth="1"/>
    <col min="10" max="10" width="7.83203125" style="24" customWidth="1"/>
    <col min="11" max="12" width="7.33203125" style="24" customWidth="1"/>
    <col min="13" max="14" width="6.33203125" style="24" customWidth="1"/>
    <col min="15" max="15" width="7" style="24" customWidth="1"/>
    <col min="16" max="16" width="6.33203125" style="24" customWidth="1"/>
    <col min="17" max="18" width="7.33203125" style="24" customWidth="1"/>
    <col min="19" max="19" width="7.33203125" style="15" customWidth="1"/>
    <col min="20" max="20" width="7.6640625" style="26" customWidth="1"/>
    <col min="21" max="21" width="7" style="15" customWidth="1"/>
    <col min="22" max="22" width="6.33203125" style="15" customWidth="1"/>
    <col min="23" max="23" width="8" style="15" customWidth="1"/>
    <col min="24" max="26" width="7" style="15" customWidth="1"/>
    <col min="27" max="27" width="8.33203125" style="15" customWidth="1"/>
    <col min="28" max="28" width="15.33203125" style="15" customWidth="1"/>
    <col min="29" max="29" width="9.5" style="15" customWidth="1"/>
    <col min="30" max="30" width="24.5" style="15" customWidth="1"/>
    <col min="31" max="31" width="9" style="15" customWidth="1"/>
    <col min="32" max="32" width="22.83203125" style="15" customWidth="1"/>
    <col min="33" max="33" width="17" style="15" customWidth="1"/>
    <col min="34" max="34" width="9.33203125" style="15" customWidth="1"/>
    <col min="35" max="40" width="7.83203125" style="15" customWidth="1"/>
    <col min="41" max="41" width="10" style="15"/>
    <col min="42" max="42" width="21.33203125" style="15" customWidth="1"/>
    <col min="43" max="266" width="10" style="15"/>
    <col min="267" max="267" width="7.6640625" style="15" customWidth="1"/>
    <col min="268" max="268" width="4.33203125" style="15" customWidth="1"/>
    <col min="269" max="270" width="6.83203125" style="15" customWidth="1"/>
    <col min="271" max="271" width="6.33203125" style="15" customWidth="1"/>
    <col min="272" max="272" width="9" style="15" customWidth="1"/>
    <col min="273" max="275" width="8.33203125" style="15" customWidth="1"/>
    <col min="276" max="276" width="7.6640625" style="15" customWidth="1"/>
    <col min="277" max="277" width="8.83203125" style="15" customWidth="1"/>
    <col min="278" max="278" width="10.33203125" style="15" customWidth="1"/>
    <col min="279" max="281" width="9.33203125" style="15" customWidth="1"/>
    <col min="282" max="282" width="15.6640625" style="15" customWidth="1"/>
    <col min="283" max="283" width="12.6640625" style="15" customWidth="1"/>
    <col min="284" max="522" width="10" style="15"/>
    <col min="523" max="523" width="7.6640625" style="15" customWidth="1"/>
    <col min="524" max="524" width="4.33203125" style="15" customWidth="1"/>
    <col min="525" max="526" width="6.83203125" style="15" customWidth="1"/>
    <col min="527" max="527" width="6.33203125" style="15" customWidth="1"/>
    <col min="528" max="528" width="9" style="15" customWidth="1"/>
    <col min="529" max="531" width="8.33203125" style="15" customWidth="1"/>
    <col min="532" max="532" width="7.6640625" style="15" customWidth="1"/>
    <col min="533" max="533" width="8.83203125" style="15" customWidth="1"/>
    <col min="534" max="534" width="10.33203125" style="15" customWidth="1"/>
    <col min="535" max="537" width="9.33203125" style="15" customWidth="1"/>
    <col min="538" max="538" width="15.6640625" style="15" customWidth="1"/>
    <col min="539" max="539" width="12.6640625" style="15" customWidth="1"/>
    <col min="540" max="778" width="10" style="15"/>
    <col min="779" max="779" width="7.6640625" style="15" customWidth="1"/>
    <col min="780" max="780" width="4.33203125" style="15" customWidth="1"/>
    <col min="781" max="782" width="6.83203125" style="15" customWidth="1"/>
    <col min="783" max="783" width="6.33203125" style="15" customWidth="1"/>
    <col min="784" max="784" width="9" style="15" customWidth="1"/>
    <col min="785" max="787" width="8.33203125" style="15" customWidth="1"/>
    <col min="788" max="788" width="7.6640625" style="15" customWidth="1"/>
    <col min="789" max="789" width="8.83203125" style="15" customWidth="1"/>
    <col min="790" max="790" width="10.33203125" style="15" customWidth="1"/>
    <col min="791" max="793" width="9.33203125" style="15" customWidth="1"/>
    <col min="794" max="794" width="15.6640625" style="15" customWidth="1"/>
    <col min="795" max="795" width="12.6640625" style="15" customWidth="1"/>
    <col min="796" max="1034" width="10" style="15"/>
    <col min="1035" max="1035" width="7.6640625" style="15" customWidth="1"/>
    <col min="1036" max="1036" width="4.33203125" style="15" customWidth="1"/>
    <col min="1037" max="1038" width="6.83203125" style="15" customWidth="1"/>
    <col min="1039" max="1039" width="6.33203125" style="15" customWidth="1"/>
    <col min="1040" max="1040" width="9" style="15" customWidth="1"/>
    <col min="1041" max="1043" width="8.33203125" style="15" customWidth="1"/>
    <col min="1044" max="1044" width="7.6640625" style="15" customWidth="1"/>
    <col min="1045" max="1045" width="8.83203125" style="15" customWidth="1"/>
    <col min="1046" max="1046" width="10.33203125" style="15" customWidth="1"/>
    <col min="1047" max="1049" width="9.33203125" style="15" customWidth="1"/>
    <col min="1050" max="1050" width="15.6640625" style="15" customWidth="1"/>
    <col min="1051" max="1051" width="12.6640625" style="15" customWidth="1"/>
    <col min="1052" max="1290" width="10" style="15"/>
    <col min="1291" max="1291" width="7.6640625" style="15" customWidth="1"/>
    <col min="1292" max="1292" width="4.33203125" style="15" customWidth="1"/>
    <col min="1293" max="1294" width="6.83203125" style="15" customWidth="1"/>
    <col min="1295" max="1295" width="6.33203125" style="15" customWidth="1"/>
    <col min="1296" max="1296" width="9" style="15" customWidth="1"/>
    <col min="1297" max="1299" width="8.33203125" style="15" customWidth="1"/>
    <col min="1300" max="1300" width="7.6640625" style="15" customWidth="1"/>
    <col min="1301" max="1301" width="8.83203125" style="15" customWidth="1"/>
    <col min="1302" max="1302" width="10.33203125" style="15" customWidth="1"/>
    <col min="1303" max="1305" width="9.33203125" style="15" customWidth="1"/>
    <col min="1306" max="1306" width="15.6640625" style="15" customWidth="1"/>
    <col min="1307" max="1307" width="12.6640625" style="15" customWidth="1"/>
    <col min="1308" max="1546" width="10" style="15"/>
    <col min="1547" max="1547" width="7.6640625" style="15" customWidth="1"/>
    <col min="1548" max="1548" width="4.33203125" style="15" customWidth="1"/>
    <col min="1549" max="1550" width="6.83203125" style="15" customWidth="1"/>
    <col min="1551" max="1551" width="6.33203125" style="15" customWidth="1"/>
    <col min="1552" max="1552" width="9" style="15" customWidth="1"/>
    <col min="1553" max="1555" width="8.33203125" style="15" customWidth="1"/>
    <col min="1556" max="1556" width="7.6640625" style="15" customWidth="1"/>
    <col min="1557" max="1557" width="8.83203125" style="15" customWidth="1"/>
    <col min="1558" max="1558" width="10.33203125" style="15" customWidth="1"/>
    <col min="1559" max="1561" width="9.33203125" style="15" customWidth="1"/>
    <col min="1562" max="1562" width="15.6640625" style="15" customWidth="1"/>
    <col min="1563" max="1563" width="12.6640625" style="15" customWidth="1"/>
    <col min="1564" max="1802" width="10" style="15"/>
    <col min="1803" max="1803" width="7.6640625" style="15" customWidth="1"/>
    <col min="1804" max="1804" width="4.33203125" style="15" customWidth="1"/>
    <col min="1805" max="1806" width="6.83203125" style="15" customWidth="1"/>
    <col min="1807" max="1807" width="6.33203125" style="15" customWidth="1"/>
    <col min="1808" max="1808" width="9" style="15" customWidth="1"/>
    <col min="1809" max="1811" width="8.33203125" style="15" customWidth="1"/>
    <col min="1812" max="1812" width="7.6640625" style="15" customWidth="1"/>
    <col min="1813" max="1813" width="8.83203125" style="15" customWidth="1"/>
    <col min="1814" max="1814" width="10.33203125" style="15" customWidth="1"/>
    <col min="1815" max="1817" width="9.33203125" style="15" customWidth="1"/>
    <col min="1818" max="1818" width="15.6640625" style="15" customWidth="1"/>
    <col min="1819" max="1819" width="12.6640625" style="15" customWidth="1"/>
    <col min="1820" max="2058" width="10" style="15"/>
    <col min="2059" max="2059" width="7.6640625" style="15" customWidth="1"/>
    <col min="2060" max="2060" width="4.33203125" style="15" customWidth="1"/>
    <col min="2061" max="2062" width="6.83203125" style="15" customWidth="1"/>
    <col min="2063" max="2063" width="6.33203125" style="15" customWidth="1"/>
    <col min="2064" max="2064" width="9" style="15" customWidth="1"/>
    <col min="2065" max="2067" width="8.33203125" style="15" customWidth="1"/>
    <col min="2068" max="2068" width="7.6640625" style="15" customWidth="1"/>
    <col min="2069" max="2069" width="8.83203125" style="15" customWidth="1"/>
    <col min="2070" max="2070" width="10.33203125" style="15" customWidth="1"/>
    <col min="2071" max="2073" width="9.33203125" style="15" customWidth="1"/>
    <col min="2074" max="2074" width="15.6640625" style="15" customWidth="1"/>
    <col min="2075" max="2075" width="12.6640625" style="15" customWidth="1"/>
    <col min="2076" max="2314" width="10" style="15"/>
    <col min="2315" max="2315" width="7.6640625" style="15" customWidth="1"/>
    <col min="2316" max="2316" width="4.33203125" style="15" customWidth="1"/>
    <col min="2317" max="2318" width="6.83203125" style="15" customWidth="1"/>
    <col min="2319" max="2319" width="6.33203125" style="15" customWidth="1"/>
    <col min="2320" max="2320" width="9" style="15" customWidth="1"/>
    <col min="2321" max="2323" width="8.33203125" style="15" customWidth="1"/>
    <col min="2324" max="2324" width="7.6640625" style="15" customWidth="1"/>
    <col min="2325" max="2325" width="8.83203125" style="15" customWidth="1"/>
    <col min="2326" max="2326" width="10.33203125" style="15" customWidth="1"/>
    <col min="2327" max="2329" width="9.33203125" style="15" customWidth="1"/>
    <col min="2330" max="2330" width="15.6640625" style="15" customWidth="1"/>
    <col min="2331" max="2331" width="12.6640625" style="15" customWidth="1"/>
    <col min="2332" max="2570" width="10" style="15"/>
    <col min="2571" max="2571" width="7.6640625" style="15" customWidth="1"/>
    <col min="2572" max="2572" width="4.33203125" style="15" customWidth="1"/>
    <col min="2573" max="2574" width="6.83203125" style="15" customWidth="1"/>
    <col min="2575" max="2575" width="6.33203125" style="15" customWidth="1"/>
    <col min="2576" max="2576" width="9" style="15" customWidth="1"/>
    <col min="2577" max="2579" width="8.33203125" style="15" customWidth="1"/>
    <col min="2580" max="2580" width="7.6640625" style="15" customWidth="1"/>
    <col min="2581" max="2581" width="8.83203125" style="15" customWidth="1"/>
    <col min="2582" max="2582" width="10.33203125" style="15" customWidth="1"/>
    <col min="2583" max="2585" width="9.33203125" style="15" customWidth="1"/>
    <col min="2586" max="2586" width="15.6640625" style="15" customWidth="1"/>
    <col min="2587" max="2587" width="12.6640625" style="15" customWidth="1"/>
    <col min="2588" max="2826" width="10" style="15"/>
    <col min="2827" max="2827" width="7.6640625" style="15" customWidth="1"/>
    <col min="2828" max="2828" width="4.33203125" style="15" customWidth="1"/>
    <col min="2829" max="2830" width="6.83203125" style="15" customWidth="1"/>
    <col min="2831" max="2831" width="6.33203125" style="15" customWidth="1"/>
    <col min="2832" max="2832" width="9" style="15" customWidth="1"/>
    <col min="2833" max="2835" width="8.33203125" style="15" customWidth="1"/>
    <col min="2836" max="2836" width="7.6640625" style="15" customWidth="1"/>
    <col min="2837" max="2837" width="8.83203125" style="15" customWidth="1"/>
    <col min="2838" max="2838" width="10.33203125" style="15" customWidth="1"/>
    <col min="2839" max="2841" width="9.33203125" style="15" customWidth="1"/>
    <col min="2842" max="2842" width="15.6640625" style="15" customWidth="1"/>
    <col min="2843" max="2843" width="12.6640625" style="15" customWidth="1"/>
    <col min="2844" max="3082" width="10" style="15"/>
    <col min="3083" max="3083" width="7.6640625" style="15" customWidth="1"/>
    <col min="3084" max="3084" width="4.33203125" style="15" customWidth="1"/>
    <col min="3085" max="3086" width="6.83203125" style="15" customWidth="1"/>
    <col min="3087" max="3087" width="6.33203125" style="15" customWidth="1"/>
    <col min="3088" max="3088" width="9" style="15" customWidth="1"/>
    <col min="3089" max="3091" width="8.33203125" style="15" customWidth="1"/>
    <col min="3092" max="3092" width="7.6640625" style="15" customWidth="1"/>
    <col min="3093" max="3093" width="8.83203125" style="15" customWidth="1"/>
    <col min="3094" max="3094" width="10.33203125" style="15" customWidth="1"/>
    <col min="3095" max="3097" width="9.33203125" style="15" customWidth="1"/>
    <col min="3098" max="3098" width="15.6640625" style="15" customWidth="1"/>
    <col min="3099" max="3099" width="12.6640625" style="15" customWidth="1"/>
    <col min="3100" max="3338" width="10" style="15"/>
    <col min="3339" max="3339" width="7.6640625" style="15" customWidth="1"/>
    <col min="3340" max="3340" width="4.33203125" style="15" customWidth="1"/>
    <col min="3341" max="3342" width="6.83203125" style="15" customWidth="1"/>
    <col min="3343" max="3343" width="6.33203125" style="15" customWidth="1"/>
    <col min="3344" max="3344" width="9" style="15" customWidth="1"/>
    <col min="3345" max="3347" width="8.33203125" style="15" customWidth="1"/>
    <col min="3348" max="3348" width="7.6640625" style="15" customWidth="1"/>
    <col min="3349" max="3349" width="8.83203125" style="15" customWidth="1"/>
    <col min="3350" max="3350" width="10.33203125" style="15" customWidth="1"/>
    <col min="3351" max="3353" width="9.33203125" style="15" customWidth="1"/>
    <col min="3354" max="3354" width="15.6640625" style="15" customWidth="1"/>
    <col min="3355" max="3355" width="12.6640625" style="15" customWidth="1"/>
    <col min="3356" max="3594" width="10" style="15"/>
    <col min="3595" max="3595" width="7.6640625" style="15" customWidth="1"/>
    <col min="3596" max="3596" width="4.33203125" style="15" customWidth="1"/>
    <col min="3597" max="3598" width="6.83203125" style="15" customWidth="1"/>
    <col min="3599" max="3599" width="6.33203125" style="15" customWidth="1"/>
    <col min="3600" max="3600" width="9" style="15" customWidth="1"/>
    <col min="3601" max="3603" width="8.33203125" style="15" customWidth="1"/>
    <col min="3604" max="3604" width="7.6640625" style="15" customWidth="1"/>
    <col min="3605" max="3605" width="8.83203125" style="15" customWidth="1"/>
    <col min="3606" max="3606" width="10.33203125" style="15" customWidth="1"/>
    <col min="3607" max="3609" width="9.33203125" style="15" customWidth="1"/>
    <col min="3610" max="3610" width="15.6640625" style="15" customWidth="1"/>
    <col min="3611" max="3611" width="12.6640625" style="15" customWidth="1"/>
    <col min="3612" max="3850" width="10" style="15"/>
    <col min="3851" max="3851" width="7.6640625" style="15" customWidth="1"/>
    <col min="3852" max="3852" width="4.33203125" style="15" customWidth="1"/>
    <col min="3853" max="3854" width="6.83203125" style="15" customWidth="1"/>
    <col min="3855" max="3855" width="6.33203125" style="15" customWidth="1"/>
    <col min="3856" max="3856" width="9" style="15" customWidth="1"/>
    <col min="3857" max="3859" width="8.33203125" style="15" customWidth="1"/>
    <col min="3860" max="3860" width="7.6640625" style="15" customWidth="1"/>
    <col min="3861" max="3861" width="8.83203125" style="15" customWidth="1"/>
    <col min="3862" max="3862" width="10.33203125" style="15" customWidth="1"/>
    <col min="3863" max="3865" width="9.33203125" style="15" customWidth="1"/>
    <col min="3866" max="3866" width="15.6640625" style="15" customWidth="1"/>
    <col min="3867" max="3867" width="12.6640625" style="15" customWidth="1"/>
    <col min="3868" max="4106" width="10" style="15"/>
    <col min="4107" max="4107" width="7.6640625" style="15" customWidth="1"/>
    <col min="4108" max="4108" width="4.33203125" style="15" customWidth="1"/>
    <col min="4109" max="4110" width="6.83203125" style="15" customWidth="1"/>
    <col min="4111" max="4111" width="6.33203125" style="15" customWidth="1"/>
    <col min="4112" max="4112" width="9" style="15" customWidth="1"/>
    <col min="4113" max="4115" width="8.33203125" style="15" customWidth="1"/>
    <col min="4116" max="4116" width="7.6640625" style="15" customWidth="1"/>
    <col min="4117" max="4117" width="8.83203125" style="15" customWidth="1"/>
    <col min="4118" max="4118" width="10.33203125" style="15" customWidth="1"/>
    <col min="4119" max="4121" width="9.33203125" style="15" customWidth="1"/>
    <col min="4122" max="4122" width="15.6640625" style="15" customWidth="1"/>
    <col min="4123" max="4123" width="12.6640625" style="15" customWidth="1"/>
    <col min="4124" max="4362" width="10" style="15"/>
    <col min="4363" max="4363" width="7.6640625" style="15" customWidth="1"/>
    <col min="4364" max="4364" width="4.33203125" style="15" customWidth="1"/>
    <col min="4365" max="4366" width="6.83203125" style="15" customWidth="1"/>
    <col min="4367" max="4367" width="6.33203125" style="15" customWidth="1"/>
    <col min="4368" max="4368" width="9" style="15" customWidth="1"/>
    <col min="4369" max="4371" width="8.33203125" style="15" customWidth="1"/>
    <col min="4372" max="4372" width="7.6640625" style="15" customWidth="1"/>
    <col min="4373" max="4373" width="8.83203125" style="15" customWidth="1"/>
    <col min="4374" max="4374" width="10.33203125" style="15" customWidth="1"/>
    <col min="4375" max="4377" width="9.33203125" style="15" customWidth="1"/>
    <col min="4378" max="4378" width="15.6640625" style="15" customWidth="1"/>
    <col min="4379" max="4379" width="12.6640625" style="15" customWidth="1"/>
    <col min="4380" max="4618" width="10" style="15"/>
    <col min="4619" max="4619" width="7.6640625" style="15" customWidth="1"/>
    <col min="4620" max="4620" width="4.33203125" style="15" customWidth="1"/>
    <col min="4621" max="4622" width="6.83203125" style="15" customWidth="1"/>
    <col min="4623" max="4623" width="6.33203125" style="15" customWidth="1"/>
    <col min="4624" max="4624" width="9" style="15" customWidth="1"/>
    <col min="4625" max="4627" width="8.33203125" style="15" customWidth="1"/>
    <col min="4628" max="4628" width="7.6640625" style="15" customWidth="1"/>
    <col min="4629" max="4629" width="8.83203125" style="15" customWidth="1"/>
    <col min="4630" max="4630" width="10.33203125" style="15" customWidth="1"/>
    <col min="4631" max="4633" width="9.33203125" style="15" customWidth="1"/>
    <col min="4634" max="4634" width="15.6640625" style="15" customWidth="1"/>
    <col min="4635" max="4635" width="12.6640625" style="15" customWidth="1"/>
    <col min="4636" max="4874" width="10" style="15"/>
    <col min="4875" max="4875" width="7.6640625" style="15" customWidth="1"/>
    <col min="4876" max="4876" width="4.33203125" style="15" customWidth="1"/>
    <col min="4877" max="4878" width="6.83203125" style="15" customWidth="1"/>
    <col min="4879" max="4879" width="6.33203125" style="15" customWidth="1"/>
    <col min="4880" max="4880" width="9" style="15" customWidth="1"/>
    <col min="4881" max="4883" width="8.33203125" style="15" customWidth="1"/>
    <col min="4884" max="4884" width="7.6640625" style="15" customWidth="1"/>
    <col min="4885" max="4885" width="8.83203125" style="15" customWidth="1"/>
    <col min="4886" max="4886" width="10.33203125" style="15" customWidth="1"/>
    <col min="4887" max="4889" width="9.33203125" style="15" customWidth="1"/>
    <col min="4890" max="4890" width="15.6640625" style="15" customWidth="1"/>
    <col min="4891" max="4891" width="12.6640625" style="15" customWidth="1"/>
    <col min="4892" max="5130" width="10" style="15"/>
    <col min="5131" max="5131" width="7.6640625" style="15" customWidth="1"/>
    <col min="5132" max="5132" width="4.33203125" style="15" customWidth="1"/>
    <col min="5133" max="5134" width="6.83203125" style="15" customWidth="1"/>
    <col min="5135" max="5135" width="6.33203125" style="15" customWidth="1"/>
    <col min="5136" max="5136" width="9" style="15" customWidth="1"/>
    <col min="5137" max="5139" width="8.33203125" style="15" customWidth="1"/>
    <col min="5140" max="5140" width="7.6640625" style="15" customWidth="1"/>
    <col min="5141" max="5141" width="8.83203125" style="15" customWidth="1"/>
    <col min="5142" max="5142" width="10.33203125" style="15" customWidth="1"/>
    <col min="5143" max="5145" width="9.33203125" style="15" customWidth="1"/>
    <col min="5146" max="5146" width="15.6640625" style="15" customWidth="1"/>
    <col min="5147" max="5147" width="12.6640625" style="15" customWidth="1"/>
    <col min="5148" max="5386" width="10" style="15"/>
    <col min="5387" max="5387" width="7.6640625" style="15" customWidth="1"/>
    <col min="5388" max="5388" width="4.33203125" style="15" customWidth="1"/>
    <col min="5389" max="5390" width="6.83203125" style="15" customWidth="1"/>
    <col min="5391" max="5391" width="6.33203125" style="15" customWidth="1"/>
    <col min="5392" max="5392" width="9" style="15" customWidth="1"/>
    <col min="5393" max="5395" width="8.33203125" style="15" customWidth="1"/>
    <col min="5396" max="5396" width="7.6640625" style="15" customWidth="1"/>
    <col min="5397" max="5397" width="8.83203125" style="15" customWidth="1"/>
    <col min="5398" max="5398" width="10.33203125" style="15" customWidth="1"/>
    <col min="5399" max="5401" width="9.33203125" style="15" customWidth="1"/>
    <col min="5402" max="5402" width="15.6640625" style="15" customWidth="1"/>
    <col min="5403" max="5403" width="12.6640625" style="15" customWidth="1"/>
    <col min="5404" max="5642" width="10" style="15"/>
    <col min="5643" max="5643" width="7.6640625" style="15" customWidth="1"/>
    <col min="5644" max="5644" width="4.33203125" style="15" customWidth="1"/>
    <col min="5645" max="5646" width="6.83203125" style="15" customWidth="1"/>
    <col min="5647" max="5647" width="6.33203125" style="15" customWidth="1"/>
    <col min="5648" max="5648" width="9" style="15" customWidth="1"/>
    <col min="5649" max="5651" width="8.33203125" style="15" customWidth="1"/>
    <col min="5652" max="5652" width="7.6640625" style="15" customWidth="1"/>
    <col min="5653" max="5653" width="8.83203125" style="15" customWidth="1"/>
    <col min="5654" max="5654" width="10.33203125" style="15" customWidth="1"/>
    <col min="5655" max="5657" width="9.33203125" style="15" customWidth="1"/>
    <col min="5658" max="5658" width="15.6640625" style="15" customWidth="1"/>
    <col min="5659" max="5659" width="12.6640625" style="15" customWidth="1"/>
    <col min="5660" max="5898" width="10" style="15"/>
    <col min="5899" max="5899" width="7.6640625" style="15" customWidth="1"/>
    <col min="5900" max="5900" width="4.33203125" style="15" customWidth="1"/>
    <col min="5901" max="5902" width="6.83203125" style="15" customWidth="1"/>
    <col min="5903" max="5903" width="6.33203125" style="15" customWidth="1"/>
    <col min="5904" max="5904" width="9" style="15" customWidth="1"/>
    <col min="5905" max="5907" width="8.33203125" style="15" customWidth="1"/>
    <col min="5908" max="5908" width="7.6640625" style="15" customWidth="1"/>
    <col min="5909" max="5909" width="8.83203125" style="15" customWidth="1"/>
    <col min="5910" max="5910" width="10.33203125" style="15" customWidth="1"/>
    <col min="5911" max="5913" width="9.33203125" style="15" customWidth="1"/>
    <col min="5914" max="5914" width="15.6640625" style="15" customWidth="1"/>
    <col min="5915" max="5915" width="12.6640625" style="15" customWidth="1"/>
    <col min="5916" max="6154" width="10" style="15"/>
    <col min="6155" max="6155" width="7.6640625" style="15" customWidth="1"/>
    <col min="6156" max="6156" width="4.33203125" style="15" customWidth="1"/>
    <col min="6157" max="6158" width="6.83203125" style="15" customWidth="1"/>
    <col min="6159" max="6159" width="6.33203125" style="15" customWidth="1"/>
    <col min="6160" max="6160" width="9" style="15" customWidth="1"/>
    <col min="6161" max="6163" width="8.33203125" style="15" customWidth="1"/>
    <col min="6164" max="6164" width="7.6640625" style="15" customWidth="1"/>
    <col min="6165" max="6165" width="8.83203125" style="15" customWidth="1"/>
    <col min="6166" max="6166" width="10.33203125" style="15" customWidth="1"/>
    <col min="6167" max="6169" width="9.33203125" style="15" customWidth="1"/>
    <col min="6170" max="6170" width="15.6640625" style="15" customWidth="1"/>
    <col min="6171" max="6171" width="12.6640625" style="15" customWidth="1"/>
    <col min="6172" max="6410" width="10" style="15"/>
    <col min="6411" max="6411" width="7.6640625" style="15" customWidth="1"/>
    <col min="6412" max="6412" width="4.33203125" style="15" customWidth="1"/>
    <col min="6413" max="6414" width="6.83203125" style="15" customWidth="1"/>
    <col min="6415" max="6415" width="6.33203125" style="15" customWidth="1"/>
    <col min="6416" max="6416" width="9" style="15" customWidth="1"/>
    <col min="6417" max="6419" width="8.33203125" style="15" customWidth="1"/>
    <col min="6420" max="6420" width="7.6640625" style="15" customWidth="1"/>
    <col min="6421" max="6421" width="8.83203125" style="15" customWidth="1"/>
    <col min="6422" max="6422" width="10.33203125" style="15" customWidth="1"/>
    <col min="6423" max="6425" width="9.33203125" style="15" customWidth="1"/>
    <col min="6426" max="6426" width="15.6640625" style="15" customWidth="1"/>
    <col min="6427" max="6427" width="12.6640625" style="15" customWidth="1"/>
    <col min="6428" max="6666" width="10" style="15"/>
    <col min="6667" max="6667" width="7.6640625" style="15" customWidth="1"/>
    <col min="6668" max="6668" width="4.33203125" style="15" customWidth="1"/>
    <col min="6669" max="6670" width="6.83203125" style="15" customWidth="1"/>
    <col min="6671" max="6671" width="6.33203125" style="15" customWidth="1"/>
    <col min="6672" max="6672" width="9" style="15" customWidth="1"/>
    <col min="6673" max="6675" width="8.33203125" style="15" customWidth="1"/>
    <col min="6676" max="6676" width="7.6640625" style="15" customWidth="1"/>
    <col min="6677" max="6677" width="8.83203125" style="15" customWidth="1"/>
    <col min="6678" max="6678" width="10.33203125" style="15" customWidth="1"/>
    <col min="6679" max="6681" width="9.33203125" style="15" customWidth="1"/>
    <col min="6682" max="6682" width="15.6640625" style="15" customWidth="1"/>
    <col min="6683" max="6683" width="12.6640625" style="15" customWidth="1"/>
    <col min="6684" max="6922" width="10" style="15"/>
    <col min="6923" max="6923" width="7.6640625" style="15" customWidth="1"/>
    <col min="6924" max="6924" width="4.33203125" style="15" customWidth="1"/>
    <col min="6925" max="6926" width="6.83203125" style="15" customWidth="1"/>
    <col min="6927" max="6927" width="6.33203125" style="15" customWidth="1"/>
    <col min="6928" max="6928" width="9" style="15" customWidth="1"/>
    <col min="6929" max="6931" width="8.33203125" style="15" customWidth="1"/>
    <col min="6932" max="6932" width="7.6640625" style="15" customWidth="1"/>
    <col min="6933" max="6933" width="8.83203125" style="15" customWidth="1"/>
    <col min="6934" max="6934" width="10.33203125" style="15" customWidth="1"/>
    <col min="6935" max="6937" width="9.33203125" style="15" customWidth="1"/>
    <col min="6938" max="6938" width="15.6640625" style="15" customWidth="1"/>
    <col min="6939" max="6939" width="12.6640625" style="15" customWidth="1"/>
    <col min="6940" max="7178" width="10" style="15"/>
    <col min="7179" max="7179" width="7.6640625" style="15" customWidth="1"/>
    <col min="7180" max="7180" width="4.33203125" style="15" customWidth="1"/>
    <col min="7181" max="7182" width="6.83203125" style="15" customWidth="1"/>
    <col min="7183" max="7183" width="6.33203125" style="15" customWidth="1"/>
    <col min="7184" max="7184" width="9" style="15" customWidth="1"/>
    <col min="7185" max="7187" width="8.33203125" style="15" customWidth="1"/>
    <col min="7188" max="7188" width="7.6640625" style="15" customWidth="1"/>
    <col min="7189" max="7189" width="8.83203125" style="15" customWidth="1"/>
    <col min="7190" max="7190" width="10.33203125" style="15" customWidth="1"/>
    <col min="7191" max="7193" width="9.33203125" style="15" customWidth="1"/>
    <col min="7194" max="7194" width="15.6640625" style="15" customWidth="1"/>
    <col min="7195" max="7195" width="12.6640625" style="15" customWidth="1"/>
    <col min="7196" max="7434" width="10" style="15"/>
    <col min="7435" max="7435" width="7.6640625" style="15" customWidth="1"/>
    <col min="7436" max="7436" width="4.33203125" style="15" customWidth="1"/>
    <col min="7437" max="7438" width="6.83203125" style="15" customWidth="1"/>
    <col min="7439" max="7439" width="6.33203125" style="15" customWidth="1"/>
    <col min="7440" max="7440" width="9" style="15" customWidth="1"/>
    <col min="7441" max="7443" width="8.33203125" style="15" customWidth="1"/>
    <col min="7444" max="7444" width="7.6640625" style="15" customWidth="1"/>
    <col min="7445" max="7445" width="8.83203125" style="15" customWidth="1"/>
    <col min="7446" max="7446" width="10.33203125" style="15" customWidth="1"/>
    <col min="7447" max="7449" width="9.33203125" style="15" customWidth="1"/>
    <col min="7450" max="7450" width="15.6640625" style="15" customWidth="1"/>
    <col min="7451" max="7451" width="12.6640625" style="15" customWidth="1"/>
    <col min="7452" max="7690" width="10" style="15"/>
    <col min="7691" max="7691" width="7.6640625" style="15" customWidth="1"/>
    <col min="7692" max="7692" width="4.33203125" style="15" customWidth="1"/>
    <col min="7693" max="7694" width="6.83203125" style="15" customWidth="1"/>
    <col min="7695" max="7695" width="6.33203125" style="15" customWidth="1"/>
    <col min="7696" max="7696" width="9" style="15" customWidth="1"/>
    <col min="7697" max="7699" width="8.33203125" style="15" customWidth="1"/>
    <col min="7700" max="7700" width="7.6640625" style="15" customWidth="1"/>
    <col min="7701" max="7701" width="8.83203125" style="15" customWidth="1"/>
    <col min="7702" max="7702" width="10.33203125" style="15" customWidth="1"/>
    <col min="7703" max="7705" width="9.33203125" style="15" customWidth="1"/>
    <col min="7706" max="7706" width="15.6640625" style="15" customWidth="1"/>
    <col min="7707" max="7707" width="12.6640625" style="15" customWidth="1"/>
    <col min="7708" max="7946" width="10" style="15"/>
    <col min="7947" max="7947" width="7.6640625" style="15" customWidth="1"/>
    <col min="7948" max="7948" width="4.33203125" style="15" customWidth="1"/>
    <col min="7949" max="7950" width="6.83203125" style="15" customWidth="1"/>
    <col min="7951" max="7951" width="6.33203125" style="15" customWidth="1"/>
    <col min="7952" max="7952" width="9" style="15" customWidth="1"/>
    <col min="7953" max="7955" width="8.33203125" style="15" customWidth="1"/>
    <col min="7956" max="7956" width="7.6640625" style="15" customWidth="1"/>
    <col min="7957" max="7957" width="8.83203125" style="15" customWidth="1"/>
    <col min="7958" max="7958" width="10.33203125" style="15" customWidth="1"/>
    <col min="7959" max="7961" width="9.33203125" style="15" customWidth="1"/>
    <col min="7962" max="7962" width="15.6640625" style="15" customWidth="1"/>
    <col min="7963" max="7963" width="12.6640625" style="15" customWidth="1"/>
    <col min="7964" max="8202" width="10" style="15"/>
    <col min="8203" max="8203" width="7.6640625" style="15" customWidth="1"/>
    <col min="8204" max="8204" width="4.33203125" style="15" customWidth="1"/>
    <col min="8205" max="8206" width="6.83203125" style="15" customWidth="1"/>
    <col min="8207" max="8207" width="6.33203125" style="15" customWidth="1"/>
    <col min="8208" max="8208" width="9" style="15" customWidth="1"/>
    <col min="8209" max="8211" width="8.33203125" style="15" customWidth="1"/>
    <col min="8212" max="8212" width="7.6640625" style="15" customWidth="1"/>
    <col min="8213" max="8213" width="8.83203125" style="15" customWidth="1"/>
    <col min="8214" max="8214" width="10.33203125" style="15" customWidth="1"/>
    <col min="8215" max="8217" width="9.33203125" style="15" customWidth="1"/>
    <col min="8218" max="8218" width="15.6640625" style="15" customWidth="1"/>
    <col min="8219" max="8219" width="12.6640625" style="15" customWidth="1"/>
    <col min="8220" max="8458" width="10" style="15"/>
    <col min="8459" max="8459" width="7.6640625" style="15" customWidth="1"/>
    <col min="8460" max="8460" width="4.33203125" style="15" customWidth="1"/>
    <col min="8461" max="8462" width="6.83203125" style="15" customWidth="1"/>
    <col min="8463" max="8463" width="6.33203125" style="15" customWidth="1"/>
    <col min="8464" max="8464" width="9" style="15" customWidth="1"/>
    <col min="8465" max="8467" width="8.33203125" style="15" customWidth="1"/>
    <col min="8468" max="8468" width="7.6640625" style="15" customWidth="1"/>
    <col min="8469" max="8469" width="8.83203125" style="15" customWidth="1"/>
    <col min="8470" max="8470" width="10.33203125" style="15" customWidth="1"/>
    <col min="8471" max="8473" width="9.33203125" style="15" customWidth="1"/>
    <col min="8474" max="8474" width="15.6640625" style="15" customWidth="1"/>
    <col min="8475" max="8475" width="12.6640625" style="15" customWidth="1"/>
    <col min="8476" max="8714" width="10" style="15"/>
    <col min="8715" max="8715" width="7.6640625" style="15" customWidth="1"/>
    <col min="8716" max="8716" width="4.33203125" style="15" customWidth="1"/>
    <col min="8717" max="8718" width="6.83203125" style="15" customWidth="1"/>
    <col min="8719" max="8719" width="6.33203125" style="15" customWidth="1"/>
    <col min="8720" max="8720" width="9" style="15" customWidth="1"/>
    <col min="8721" max="8723" width="8.33203125" style="15" customWidth="1"/>
    <col min="8724" max="8724" width="7.6640625" style="15" customWidth="1"/>
    <col min="8725" max="8725" width="8.83203125" style="15" customWidth="1"/>
    <col min="8726" max="8726" width="10.33203125" style="15" customWidth="1"/>
    <col min="8727" max="8729" width="9.33203125" style="15" customWidth="1"/>
    <col min="8730" max="8730" width="15.6640625" style="15" customWidth="1"/>
    <col min="8731" max="8731" width="12.6640625" style="15" customWidth="1"/>
    <col min="8732" max="8970" width="10" style="15"/>
    <col min="8971" max="8971" width="7.6640625" style="15" customWidth="1"/>
    <col min="8972" max="8972" width="4.33203125" style="15" customWidth="1"/>
    <col min="8973" max="8974" width="6.83203125" style="15" customWidth="1"/>
    <col min="8975" max="8975" width="6.33203125" style="15" customWidth="1"/>
    <col min="8976" max="8976" width="9" style="15" customWidth="1"/>
    <col min="8977" max="8979" width="8.33203125" style="15" customWidth="1"/>
    <col min="8980" max="8980" width="7.6640625" style="15" customWidth="1"/>
    <col min="8981" max="8981" width="8.83203125" style="15" customWidth="1"/>
    <col min="8982" max="8982" width="10.33203125" style="15" customWidth="1"/>
    <col min="8983" max="8985" width="9.33203125" style="15" customWidth="1"/>
    <col min="8986" max="8986" width="15.6640625" style="15" customWidth="1"/>
    <col min="8987" max="8987" width="12.6640625" style="15" customWidth="1"/>
    <col min="8988" max="9226" width="10" style="15"/>
    <col min="9227" max="9227" width="7.6640625" style="15" customWidth="1"/>
    <col min="9228" max="9228" width="4.33203125" style="15" customWidth="1"/>
    <col min="9229" max="9230" width="6.83203125" style="15" customWidth="1"/>
    <col min="9231" max="9231" width="6.33203125" style="15" customWidth="1"/>
    <col min="9232" max="9232" width="9" style="15" customWidth="1"/>
    <col min="9233" max="9235" width="8.33203125" style="15" customWidth="1"/>
    <col min="9236" max="9236" width="7.6640625" style="15" customWidth="1"/>
    <col min="9237" max="9237" width="8.83203125" style="15" customWidth="1"/>
    <col min="9238" max="9238" width="10.33203125" style="15" customWidth="1"/>
    <col min="9239" max="9241" width="9.33203125" style="15" customWidth="1"/>
    <col min="9242" max="9242" width="15.6640625" style="15" customWidth="1"/>
    <col min="9243" max="9243" width="12.6640625" style="15" customWidth="1"/>
    <col min="9244" max="9482" width="10" style="15"/>
    <col min="9483" max="9483" width="7.6640625" style="15" customWidth="1"/>
    <col min="9484" max="9484" width="4.33203125" style="15" customWidth="1"/>
    <col min="9485" max="9486" width="6.83203125" style="15" customWidth="1"/>
    <col min="9487" max="9487" width="6.33203125" style="15" customWidth="1"/>
    <col min="9488" max="9488" width="9" style="15" customWidth="1"/>
    <col min="9489" max="9491" width="8.33203125" style="15" customWidth="1"/>
    <col min="9492" max="9492" width="7.6640625" style="15" customWidth="1"/>
    <col min="9493" max="9493" width="8.83203125" style="15" customWidth="1"/>
    <col min="9494" max="9494" width="10.33203125" style="15" customWidth="1"/>
    <col min="9495" max="9497" width="9.33203125" style="15" customWidth="1"/>
    <col min="9498" max="9498" width="15.6640625" style="15" customWidth="1"/>
    <col min="9499" max="9499" width="12.6640625" style="15" customWidth="1"/>
    <col min="9500" max="9738" width="10" style="15"/>
    <col min="9739" max="9739" width="7.6640625" style="15" customWidth="1"/>
    <col min="9740" max="9740" width="4.33203125" style="15" customWidth="1"/>
    <col min="9741" max="9742" width="6.83203125" style="15" customWidth="1"/>
    <col min="9743" max="9743" width="6.33203125" style="15" customWidth="1"/>
    <col min="9744" max="9744" width="9" style="15" customWidth="1"/>
    <col min="9745" max="9747" width="8.33203125" style="15" customWidth="1"/>
    <col min="9748" max="9748" width="7.6640625" style="15" customWidth="1"/>
    <col min="9749" max="9749" width="8.83203125" style="15" customWidth="1"/>
    <col min="9750" max="9750" width="10.33203125" style="15" customWidth="1"/>
    <col min="9751" max="9753" width="9.33203125" style="15" customWidth="1"/>
    <col min="9754" max="9754" width="15.6640625" style="15" customWidth="1"/>
    <col min="9755" max="9755" width="12.6640625" style="15" customWidth="1"/>
    <col min="9756" max="9994" width="10" style="15"/>
    <col min="9995" max="9995" width="7.6640625" style="15" customWidth="1"/>
    <col min="9996" max="9996" width="4.33203125" style="15" customWidth="1"/>
    <col min="9997" max="9998" width="6.83203125" style="15" customWidth="1"/>
    <col min="9999" max="9999" width="6.33203125" style="15" customWidth="1"/>
    <col min="10000" max="10000" width="9" style="15" customWidth="1"/>
    <col min="10001" max="10003" width="8.33203125" style="15" customWidth="1"/>
    <col min="10004" max="10004" width="7.6640625" style="15" customWidth="1"/>
    <col min="10005" max="10005" width="8.83203125" style="15" customWidth="1"/>
    <col min="10006" max="10006" width="10.33203125" style="15" customWidth="1"/>
    <col min="10007" max="10009" width="9.33203125" style="15" customWidth="1"/>
    <col min="10010" max="10010" width="15.6640625" style="15" customWidth="1"/>
    <col min="10011" max="10011" width="12.6640625" style="15" customWidth="1"/>
    <col min="10012" max="10250" width="10" style="15"/>
    <col min="10251" max="10251" width="7.6640625" style="15" customWidth="1"/>
    <col min="10252" max="10252" width="4.33203125" style="15" customWidth="1"/>
    <col min="10253" max="10254" width="6.83203125" style="15" customWidth="1"/>
    <col min="10255" max="10255" width="6.33203125" style="15" customWidth="1"/>
    <col min="10256" max="10256" width="9" style="15" customWidth="1"/>
    <col min="10257" max="10259" width="8.33203125" style="15" customWidth="1"/>
    <col min="10260" max="10260" width="7.6640625" style="15" customWidth="1"/>
    <col min="10261" max="10261" width="8.83203125" style="15" customWidth="1"/>
    <col min="10262" max="10262" width="10.33203125" style="15" customWidth="1"/>
    <col min="10263" max="10265" width="9.33203125" style="15" customWidth="1"/>
    <col min="10266" max="10266" width="15.6640625" style="15" customWidth="1"/>
    <col min="10267" max="10267" width="12.6640625" style="15" customWidth="1"/>
    <col min="10268" max="10506" width="10" style="15"/>
    <col min="10507" max="10507" width="7.6640625" style="15" customWidth="1"/>
    <col min="10508" max="10508" width="4.33203125" style="15" customWidth="1"/>
    <col min="10509" max="10510" width="6.83203125" style="15" customWidth="1"/>
    <col min="10511" max="10511" width="6.33203125" style="15" customWidth="1"/>
    <col min="10512" max="10512" width="9" style="15" customWidth="1"/>
    <col min="10513" max="10515" width="8.33203125" style="15" customWidth="1"/>
    <col min="10516" max="10516" width="7.6640625" style="15" customWidth="1"/>
    <col min="10517" max="10517" width="8.83203125" style="15" customWidth="1"/>
    <col min="10518" max="10518" width="10.33203125" style="15" customWidth="1"/>
    <col min="10519" max="10521" width="9.33203125" style="15" customWidth="1"/>
    <col min="10522" max="10522" width="15.6640625" style="15" customWidth="1"/>
    <col min="10523" max="10523" width="12.6640625" style="15" customWidth="1"/>
    <col min="10524" max="10762" width="10" style="15"/>
    <col min="10763" max="10763" width="7.6640625" style="15" customWidth="1"/>
    <col min="10764" max="10764" width="4.33203125" style="15" customWidth="1"/>
    <col min="10765" max="10766" width="6.83203125" style="15" customWidth="1"/>
    <col min="10767" max="10767" width="6.33203125" style="15" customWidth="1"/>
    <col min="10768" max="10768" width="9" style="15" customWidth="1"/>
    <col min="10769" max="10771" width="8.33203125" style="15" customWidth="1"/>
    <col min="10772" max="10772" width="7.6640625" style="15" customWidth="1"/>
    <col min="10773" max="10773" width="8.83203125" style="15" customWidth="1"/>
    <col min="10774" max="10774" width="10.33203125" style="15" customWidth="1"/>
    <col min="10775" max="10777" width="9.33203125" style="15" customWidth="1"/>
    <col min="10778" max="10778" width="15.6640625" style="15" customWidth="1"/>
    <col min="10779" max="10779" width="12.6640625" style="15" customWidth="1"/>
    <col min="10780" max="11018" width="10" style="15"/>
    <col min="11019" max="11019" width="7.6640625" style="15" customWidth="1"/>
    <col min="11020" max="11020" width="4.33203125" style="15" customWidth="1"/>
    <col min="11021" max="11022" width="6.83203125" style="15" customWidth="1"/>
    <col min="11023" max="11023" width="6.33203125" style="15" customWidth="1"/>
    <col min="11024" max="11024" width="9" style="15" customWidth="1"/>
    <col min="11025" max="11027" width="8.33203125" style="15" customWidth="1"/>
    <col min="11028" max="11028" width="7.6640625" style="15" customWidth="1"/>
    <col min="11029" max="11029" width="8.83203125" style="15" customWidth="1"/>
    <col min="11030" max="11030" width="10.33203125" style="15" customWidth="1"/>
    <col min="11031" max="11033" width="9.33203125" style="15" customWidth="1"/>
    <col min="11034" max="11034" width="15.6640625" style="15" customWidth="1"/>
    <col min="11035" max="11035" width="12.6640625" style="15" customWidth="1"/>
    <col min="11036" max="11274" width="10" style="15"/>
    <col min="11275" max="11275" width="7.6640625" style="15" customWidth="1"/>
    <col min="11276" max="11276" width="4.33203125" style="15" customWidth="1"/>
    <col min="11277" max="11278" width="6.83203125" style="15" customWidth="1"/>
    <col min="11279" max="11279" width="6.33203125" style="15" customWidth="1"/>
    <col min="11280" max="11280" width="9" style="15" customWidth="1"/>
    <col min="11281" max="11283" width="8.33203125" style="15" customWidth="1"/>
    <col min="11284" max="11284" width="7.6640625" style="15" customWidth="1"/>
    <col min="11285" max="11285" width="8.83203125" style="15" customWidth="1"/>
    <col min="11286" max="11286" width="10.33203125" style="15" customWidth="1"/>
    <col min="11287" max="11289" width="9.33203125" style="15" customWidth="1"/>
    <col min="11290" max="11290" width="15.6640625" style="15" customWidth="1"/>
    <col min="11291" max="11291" width="12.6640625" style="15" customWidth="1"/>
    <col min="11292" max="11530" width="10" style="15"/>
    <col min="11531" max="11531" width="7.6640625" style="15" customWidth="1"/>
    <col min="11532" max="11532" width="4.33203125" style="15" customWidth="1"/>
    <col min="11533" max="11534" width="6.83203125" style="15" customWidth="1"/>
    <col min="11535" max="11535" width="6.33203125" style="15" customWidth="1"/>
    <col min="11536" max="11536" width="9" style="15" customWidth="1"/>
    <col min="11537" max="11539" width="8.33203125" style="15" customWidth="1"/>
    <col min="11540" max="11540" width="7.6640625" style="15" customWidth="1"/>
    <col min="11541" max="11541" width="8.83203125" style="15" customWidth="1"/>
    <col min="11542" max="11542" width="10.33203125" style="15" customWidth="1"/>
    <col min="11543" max="11545" width="9.33203125" style="15" customWidth="1"/>
    <col min="11546" max="11546" width="15.6640625" style="15" customWidth="1"/>
    <col min="11547" max="11547" width="12.6640625" style="15" customWidth="1"/>
    <col min="11548" max="11786" width="10" style="15"/>
    <col min="11787" max="11787" width="7.6640625" style="15" customWidth="1"/>
    <col min="11788" max="11788" width="4.33203125" style="15" customWidth="1"/>
    <col min="11789" max="11790" width="6.83203125" style="15" customWidth="1"/>
    <col min="11791" max="11791" width="6.33203125" style="15" customWidth="1"/>
    <col min="11792" max="11792" width="9" style="15" customWidth="1"/>
    <col min="11793" max="11795" width="8.33203125" style="15" customWidth="1"/>
    <col min="11796" max="11796" width="7.6640625" style="15" customWidth="1"/>
    <col min="11797" max="11797" width="8.83203125" style="15" customWidth="1"/>
    <col min="11798" max="11798" width="10.33203125" style="15" customWidth="1"/>
    <col min="11799" max="11801" width="9.33203125" style="15" customWidth="1"/>
    <col min="11802" max="11802" width="15.6640625" style="15" customWidth="1"/>
    <col min="11803" max="11803" width="12.6640625" style="15" customWidth="1"/>
    <col min="11804" max="12042" width="10" style="15"/>
    <col min="12043" max="12043" width="7.6640625" style="15" customWidth="1"/>
    <col min="12044" max="12044" width="4.33203125" style="15" customWidth="1"/>
    <col min="12045" max="12046" width="6.83203125" style="15" customWidth="1"/>
    <col min="12047" max="12047" width="6.33203125" style="15" customWidth="1"/>
    <col min="12048" max="12048" width="9" style="15" customWidth="1"/>
    <col min="12049" max="12051" width="8.33203125" style="15" customWidth="1"/>
    <col min="12052" max="12052" width="7.6640625" style="15" customWidth="1"/>
    <col min="12053" max="12053" width="8.83203125" style="15" customWidth="1"/>
    <col min="12054" max="12054" width="10.33203125" style="15" customWidth="1"/>
    <col min="12055" max="12057" width="9.33203125" style="15" customWidth="1"/>
    <col min="12058" max="12058" width="15.6640625" style="15" customWidth="1"/>
    <col min="12059" max="12059" width="12.6640625" style="15" customWidth="1"/>
    <col min="12060" max="12298" width="10" style="15"/>
    <col min="12299" max="12299" width="7.6640625" style="15" customWidth="1"/>
    <col min="12300" max="12300" width="4.33203125" style="15" customWidth="1"/>
    <col min="12301" max="12302" width="6.83203125" style="15" customWidth="1"/>
    <col min="12303" max="12303" width="6.33203125" style="15" customWidth="1"/>
    <col min="12304" max="12304" width="9" style="15" customWidth="1"/>
    <col min="12305" max="12307" width="8.33203125" style="15" customWidth="1"/>
    <col min="12308" max="12308" width="7.6640625" style="15" customWidth="1"/>
    <col min="12309" max="12309" width="8.83203125" style="15" customWidth="1"/>
    <col min="12310" max="12310" width="10.33203125" style="15" customWidth="1"/>
    <col min="12311" max="12313" width="9.33203125" style="15" customWidth="1"/>
    <col min="12314" max="12314" width="15.6640625" style="15" customWidth="1"/>
    <col min="12315" max="12315" width="12.6640625" style="15" customWidth="1"/>
    <col min="12316" max="12554" width="10" style="15"/>
    <col min="12555" max="12555" width="7.6640625" style="15" customWidth="1"/>
    <col min="12556" max="12556" width="4.33203125" style="15" customWidth="1"/>
    <col min="12557" max="12558" width="6.83203125" style="15" customWidth="1"/>
    <col min="12559" max="12559" width="6.33203125" style="15" customWidth="1"/>
    <col min="12560" max="12560" width="9" style="15" customWidth="1"/>
    <col min="12561" max="12563" width="8.33203125" style="15" customWidth="1"/>
    <col min="12564" max="12564" width="7.6640625" style="15" customWidth="1"/>
    <col min="12565" max="12565" width="8.83203125" style="15" customWidth="1"/>
    <col min="12566" max="12566" width="10.33203125" style="15" customWidth="1"/>
    <col min="12567" max="12569" width="9.33203125" style="15" customWidth="1"/>
    <col min="12570" max="12570" width="15.6640625" style="15" customWidth="1"/>
    <col min="12571" max="12571" width="12.6640625" style="15" customWidth="1"/>
    <col min="12572" max="12810" width="10" style="15"/>
    <col min="12811" max="12811" width="7.6640625" style="15" customWidth="1"/>
    <col min="12812" max="12812" width="4.33203125" style="15" customWidth="1"/>
    <col min="12813" max="12814" width="6.83203125" style="15" customWidth="1"/>
    <col min="12815" max="12815" width="6.33203125" style="15" customWidth="1"/>
    <col min="12816" max="12816" width="9" style="15" customWidth="1"/>
    <col min="12817" max="12819" width="8.33203125" style="15" customWidth="1"/>
    <col min="12820" max="12820" width="7.6640625" style="15" customWidth="1"/>
    <col min="12821" max="12821" width="8.83203125" style="15" customWidth="1"/>
    <col min="12822" max="12822" width="10.33203125" style="15" customWidth="1"/>
    <col min="12823" max="12825" width="9.33203125" style="15" customWidth="1"/>
    <col min="12826" max="12826" width="15.6640625" style="15" customWidth="1"/>
    <col min="12827" max="12827" width="12.6640625" style="15" customWidth="1"/>
    <col min="12828" max="13066" width="10" style="15"/>
    <col min="13067" max="13067" width="7.6640625" style="15" customWidth="1"/>
    <col min="13068" max="13068" width="4.33203125" style="15" customWidth="1"/>
    <col min="13069" max="13070" width="6.83203125" style="15" customWidth="1"/>
    <col min="13071" max="13071" width="6.33203125" style="15" customWidth="1"/>
    <col min="13072" max="13072" width="9" style="15" customWidth="1"/>
    <col min="13073" max="13075" width="8.33203125" style="15" customWidth="1"/>
    <col min="13076" max="13076" width="7.6640625" style="15" customWidth="1"/>
    <col min="13077" max="13077" width="8.83203125" style="15" customWidth="1"/>
    <col min="13078" max="13078" width="10.33203125" style="15" customWidth="1"/>
    <col min="13079" max="13081" width="9.33203125" style="15" customWidth="1"/>
    <col min="13082" max="13082" width="15.6640625" style="15" customWidth="1"/>
    <col min="13083" max="13083" width="12.6640625" style="15" customWidth="1"/>
    <col min="13084" max="13322" width="10" style="15"/>
    <col min="13323" max="13323" width="7.6640625" style="15" customWidth="1"/>
    <col min="13324" max="13324" width="4.33203125" style="15" customWidth="1"/>
    <col min="13325" max="13326" width="6.83203125" style="15" customWidth="1"/>
    <col min="13327" max="13327" width="6.33203125" style="15" customWidth="1"/>
    <col min="13328" max="13328" width="9" style="15" customWidth="1"/>
    <col min="13329" max="13331" width="8.33203125" style="15" customWidth="1"/>
    <col min="13332" max="13332" width="7.6640625" style="15" customWidth="1"/>
    <col min="13333" max="13333" width="8.83203125" style="15" customWidth="1"/>
    <col min="13334" max="13334" width="10.33203125" style="15" customWidth="1"/>
    <col min="13335" max="13337" width="9.33203125" style="15" customWidth="1"/>
    <col min="13338" max="13338" width="15.6640625" style="15" customWidth="1"/>
    <col min="13339" max="13339" width="12.6640625" style="15" customWidth="1"/>
    <col min="13340" max="13578" width="10" style="15"/>
    <col min="13579" max="13579" width="7.6640625" style="15" customWidth="1"/>
    <col min="13580" max="13580" width="4.33203125" style="15" customWidth="1"/>
    <col min="13581" max="13582" width="6.83203125" style="15" customWidth="1"/>
    <col min="13583" max="13583" width="6.33203125" style="15" customWidth="1"/>
    <col min="13584" max="13584" width="9" style="15" customWidth="1"/>
    <col min="13585" max="13587" width="8.33203125" style="15" customWidth="1"/>
    <col min="13588" max="13588" width="7.6640625" style="15" customWidth="1"/>
    <col min="13589" max="13589" width="8.83203125" style="15" customWidth="1"/>
    <col min="13590" max="13590" width="10.33203125" style="15" customWidth="1"/>
    <col min="13591" max="13593" width="9.33203125" style="15" customWidth="1"/>
    <col min="13594" max="13594" width="15.6640625" style="15" customWidth="1"/>
    <col min="13595" max="13595" width="12.6640625" style="15" customWidth="1"/>
    <col min="13596" max="13834" width="10" style="15"/>
    <col min="13835" max="13835" width="7.6640625" style="15" customWidth="1"/>
    <col min="13836" max="13836" width="4.33203125" style="15" customWidth="1"/>
    <col min="13837" max="13838" width="6.83203125" style="15" customWidth="1"/>
    <col min="13839" max="13839" width="6.33203125" style="15" customWidth="1"/>
    <col min="13840" max="13840" width="9" style="15" customWidth="1"/>
    <col min="13841" max="13843" width="8.33203125" style="15" customWidth="1"/>
    <col min="13844" max="13844" width="7.6640625" style="15" customWidth="1"/>
    <col min="13845" max="13845" width="8.83203125" style="15" customWidth="1"/>
    <col min="13846" max="13846" width="10.33203125" style="15" customWidth="1"/>
    <col min="13847" max="13849" width="9.33203125" style="15" customWidth="1"/>
    <col min="13850" max="13850" width="15.6640625" style="15" customWidth="1"/>
    <col min="13851" max="13851" width="12.6640625" style="15" customWidth="1"/>
    <col min="13852" max="14090" width="10" style="15"/>
    <col min="14091" max="14091" width="7.6640625" style="15" customWidth="1"/>
    <col min="14092" max="14092" width="4.33203125" style="15" customWidth="1"/>
    <col min="14093" max="14094" width="6.83203125" style="15" customWidth="1"/>
    <col min="14095" max="14095" width="6.33203125" style="15" customWidth="1"/>
    <col min="14096" max="14096" width="9" style="15" customWidth="1"/>
    <col min="14097" max="14099" width="8.33203125" style="15" customWidth="1"/>
    <col min="14100" max="14100" width="7.6640625" style="15" customWidth="1"/>
    <col min="14101" max="14101" width="8.83203125" style="15" customWidth="1"/>
    <col min="14102" max="14102" width="10.33203125" style="15" customWidth="1"/>
    <col min="14103" max="14105" width="9.33203125" style="15" customWidth="1"/>
    <col min="14106" max="14106" width="15.6640625" style="15" customWidth="1"/>
    <col min="14107" max="14107" width="12.6640625" style="15" customWidth="1"/>
    <col min="14108" max="14346" width="10" style="15"/>
    <col min="14347" max="14347" width="7.6640625" style="15" customWidth="1"/>
    <col min="14348" max="14348" width="4.33203125" style="15" customWidth="1"/>
    <col min="14349" max="14350" width="6.83203125" style="15" customWidth="1"/>
    <col min="14351" max="14351" width="6.33203125" style="15" customWidth="1"/>
    <col min="14352" max="14352" width="9" style="15" customWidth="1"/>
    <col min="14353" max="14355" width="8.33203125" style="15" customWidth="1"/>
    <col min="14356" max="14356" width="7.6640625" style="15" customWidth="1"/>
    <col min="14357" max="14357" width="8.83203125" style="15" customWidth="1"/>
    <col min="14358" max="14358" width="10.33203125" style="15" customWidth="1"/>
    <col min="14359" max="14361" width="9.33203125" style="15" customWidth="1"/>
    <col min="14362" max="14362" width="15.6640625" style="15" customWidth="1"/>
    <col min="14363" max="14363" width="12.6640625" style="15" customWidth="1"/>
    <col min="14364" max="14602" width="10" style="15"/>
    <col min="14603" max="14603" width="7.6640625" style="15" customWidth="1"/>
    <col min="14604" max="14604" width="4.33203125" style="15" customWidth="1"/>
    <col min="14605" max="14606" width="6.83203125" style="15" customWidth="1"/>
    <col min="14607" max="14607" width="6.33203125" style="15" customWidth="1"/>
    <col min="14608" max="14608" width="9" style="15" customWidth="1"/>
    <col min="14609" max="14611" width="8.33203125" style="15" customWidth="1"/>
    <col min="14612" max="14612" width="7.6640625" style="15" customWidth="1"/>
    <col min="14613" max="14613" width="8.83203125" style="15" customWidth="1"/>
    <col min="14614" max="14614" width="10.33203125" style="15" customWidth="1"/>
    <col min="14615" max="14617" width="9.33203125" style="15" customWidth="1"/>
    <col min="14618" max="14618" width="15.6640625" style="15" customWidth="1"/>
    <col min="14619" max="14619" width="12.6640625" style="15" customWidth="1"/>
    <col min="14620" max="14858" width="10" style="15"/>
    <col min="14859" max="14859" width="7.6640625" style="15" customWidth="1"/>
    <col min="14860" max="14860" width="4.33203125" style="15" customWidth="1"/>
    <col min="14861" max="14862" width="6.83203125" style="15" customWidth="1"/>
    <col min="14863" max="14863" width="6.33203125" style="15" customWidth="1"/>
    <col min="14864" max="14864" width="9" style="15" customWidth="1"/>
    <col min="14865" max="14867" width="8.33203125" style="15" customWidth="1"/>
    <col min="14868" max="14868" width="7.6640625" style="15" customWidth="1"/>
    <col min="14869" max="14869" width="8.83203125" style="15" customWidth="1"/>
    <col min="14870" max="14870" width="10.33203125" style="15" customWidth="1"/>
    <col min="14871" max="14873" width="9.33203125" style="15" customWidth="1"/>
    <col min="14874" max="14874" width="15.6640625" style="15" customWidth="1"/>
    <col min="14875" max="14875" width="12.6640625" style="15" customWidth="1"/>
    <col min="14876" max="15114" width="10" style="15"/>
    <col min="15115" max="15115" width="7.6640625" style="15" customWidth="1"/>
    <col min="15116" max="15116" width="4.33203125" style="15" customWidth="1"/>
    <col min="15117" max="15118" width="6.83203125" style="15" customWidth="1"/>
    <col min="15119" max="15119" width="6.33203125" style="15" customWidth="1"/>
    <col min="15120" max="15120" width="9" style="15" customWidth="1"/>
    <col min="15121" max="15123" width="8.33203125" style="15" customWidth="1"/>
    <col min="15124" max="15124" width="7.6640625" style="15" customWidth="1"/>
    <col min="15125" max="15125" width="8.83203125" style="15" customWidth="1"/>
    <col min="15126" max="15126" width="10.33203125" style="15" customWidth="1"/>
    <col min="15127" max="15129" width="9.33203125" style="15" customWidth="1"/>
    <col min="15130" max="15130" width="15.6640625" style="15" customWidth="1"/>
    <col min="15131" max="15131" width="12.6640625" style="15" customWidth="1"/>
    <col min="15132" max="15370" width="10" style="15"/>
    <col min="15371" max="15371" width="7.6640625" style="15" customWidth="1"/>
    <col min="15372" max="15372" width="4.33203125" style="15" customWidth="1"/>
    <col min="15373" max="15374" width="6.83203125" style="15" customWidth="1"/>
    <col min="15375" max="15375" width="6.33203125" style="15" customWidth="1"/>
    <col min="15376" max="15376" width="9" style="15" customWidth="1"/>
    <col min="15377" max="15379" width="8.33203125" style="15" customWidth="1"/>
    <col min="15380" max="15380" width="7.6640625" style="15" customWidth="1"/>
    <col min="15381" max="15381" width="8.83203125" style="15" customWidth="1"/>
    <col min="15382" max="15382" width="10.33203125" style="15" customWidth="1"/>
    <col min="15383" max="15385" width="9.33203125" style="15" customWidth="1"/>
    <col min="15386" max="15386" width="15.6640625" style="15" customWidth="1"/>
    <col min="15387" max="15387" width="12.6640625" style="15" customWidth="1"/>
    <col min="15388" max="15626" width="10" style="15"/>
    <col min="15627" max="15627" width="7.6640625" style="15" customWidth="1"/>
    <col min="15628" max="15628" width="4.33203125" style="15" customWidth="1"/>
    <col min="15629" max="15630" width="6.83203125" style="15" customWidth="1"/>
    <col min="15631" max="15631" width="6.33203125" style="15" customWidth="1"/>
    <col min="15632" max="15632" width="9" style="15" customWidth="1"/>
    <col min="15633" max="15635" width="8.33203125" style="15" customWidth="1"/>
    <col min="15636" max="15636" width="7.6640625" style="15" customWidth="1"/>
    <col min="15637" max="15637" width="8.83203125" style="15" customWidth="1"/>
    <col min="15638" max="15638" width="10.33203125" style="15" customWidth="1"/>
    <col min="15639" max="15641" width="9.33203125" style="15" customWidth="1"/>
    <col min="15642" max="15642" width="15.6640625" style="15" customWidth="1"/>
    <col min="15643" max="15643" width="12.6640625" style="15" customWidth="1"/>
    <col min="15644" max="15882" width="10" style="15"/>
    <col min="15883" max="15883" width="7.6640625" style="15" customWidth="1"/>
    <col min="15884" max="15884" width="4.33203125" style="15" customWidth="1"/>
    <col min="15885" max="15886" width="6.83203125" style="15" customWidth="1"/>
    <col min="15887" max="15887" width="6.33203125" style="15" customWidth="1"/>
    <col min="15888" max="15888" width="9" style="15" customWidth="1"/>
    <col min="15889" max="15891" width="8.33203125" style="15" customWidth="1"/>
    <col min="15892" max="15892" width="7.6640625" style="15" customWidth="1"/>
    <col min="15893" max="15893" width="8.83203125" style="15" customWidth="1"/>
    <col min="15894" max="15894" width="10.33203125" style="15" customWidth="1"/>
    <col min="15895" max="15897" width="9.33203125" style="15" customWidth="1"/>
    <col min="15898" max="15898" width="15.6640625" style="15" customWidth="1"/>
    <col min="15899" max="15899" width="12.6640625" style="15" customWidth="1"/>
    <col min="15900" max="16138" width="10" style="15"/>
    <col min="16139" max="16139" width="7.6640625" style="15" customWidth="1"/>
    <col min="16140" max="16140" width="4.33203125" style="15" customWidth="1"/>
    <col min="16141" max="16142" width="6.83203125" style="15" customWidth="1"/>
    <col min="16143" max="16143" width="6.33203125" style="15" customWidth="1"/>
    <col min="16144" max="16144" width="9" style="15" customWidth="1"/>
    <col min="16145" max="16147" width="8.33203125" style="15" customWidth="1"/>
    <col min="16148" max="16148" width="7.6640625" style="15" customWidth="1"/>
    <col min="16149" max="16149" width="8.83203125" style="15" customWidth="1"/>
    <col min="16150" max="16150" width="10.33203125" style="15" customWidth="1"/>
    <col min="16151" max="16153" width="9.33203125" style="15" customWidth="1"/>
    <col min="16154" max="16154" width="15.6640625" style="15" customWidth="1"/>
    <col min="16155" max="16155" width="12.6640625" style="15" customWidth="1"/>
    <col min="16156" max="16384" width="10" style="15"/>
  </cols>
  <sheetData>
    <row r="1" spans="1:59" s="1" customFormat="1" ht="17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53" t="s">
        <v>71</v>
      </c>
      <c r="AD1" s="53"/>
      <c r="AE1" s="53"/>
      <c r="AF1" s="2"/>
      <c r="AG1" s="3"/>
    </row>
    <row r="2" spans="1:59" s="1" customFormat="1" ht="17">
      <c r="A2" s="116" t="s">
        <v>105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81">
        <v>5.5782999999999996</v>
      </c>
      <c r="AD2" s="15"/>
      <c r="AE2" s="15"/>
      <c r="AF2" s="2"/>
      <c r="AG2" s="3"/>
    </row>
    <row r="3" spans="1:59" s="37" customFormat="1" ht="15.75" customHeight="1">
      <c r="A3" s="111" t="s">
        <v>77</v>
      </c>
      <c r="B3" s="111" t="s">
        <v>1</v>
      </c>
      <c r="C3" s="111" t="s">
        <v>2</v>
      </c>
      <c r="D3" s="111"/>
      <c r="E3" s="111"/>
      <c r="F3" s="111"/>
      <c r="G3" s="111"/>
      <c r="H3" s="111"/>
      <c r="I3" s="111" t="s">
        <v>3</v>
      </c>
      <c r="J3" s="107" t="s">
        <v>4</v>
      </c>
      <c r="K3" s="107" t="s">
        <v>5</v>
      </c>
      <c r="L3" s="107"/>
      <c r="M3" s="107"/>
      <c r="N3" s="107"/>
      <c r="O3" s="107"/>
      <c r="P3" s="107"/>
      <c r="Q3" s="107"/>
      <c r="R3" s="107" t="s">
        <v>69</v>
      </c>
      <c r="S3" s="111" t="s">
        <v>82</v>
      </c>
      <c r="T3" s="111"/>
      <c r="U3" s="107" t="s">
        <v>6</v>
      </c>
      <c r="V3" s="107" t="s">
        <v>89</v>
      </c>
      <c r="W3" s="107" t="s">
        <v>65</v>
      </c>
      <c r="X3" s="107" t="s">
        <v>63</v>
      </c>
      <c r="Y3" s="107"/>
      <c r="Z3" s="107"/>
      <c r="AA3" s="107" t="s">
        <v>67</v>
      </c>
      <c r="AB3" s="107" t="s">
        <v>8</v>
      </c>
      <c r="AC3" s="112" t="s">
        <v>7</v>
      </c>
      <c r="AD3" s="107" t="s">
        <v>123</v>
      </c>
      <c r="AE3" s="15"/>
      <c r="AF3" s="12" t="s">
        <v>33</v>
      </c>
      <c r="AG3" s="9" t="s">
        <v>34</v>
      </c>
    </row>
    <row r="4" spans="1:59" s="37" customFormat="1" ht="36.75" customHeight="1">
      <c r="A4" s="111"/>
      <c r="B4" s="111"/>
      <c r="C4" s="111" t="s">
        <v>9</v>
      </c>
      <c r="D4" s="111"/>
      <c r="E4" s="111"/>
      <c r="F4" s="111"/>
      <c r="G4" s="111" t="s">
        <v>10</v>
      </c>
      <c r="H4" s="111" t="s">
        <v>11</v>
      </c>
      <c r="I4" s="111"/>
      <c r="J4" s="107"/>
      <c r="K4" s="107" t="s">
        <v>12</v>
      </c>
      <c r="L4" s="107"/>
      <c r="M4" s="107"/>
      <c r="N4" s="107"/>
      <c r="O4" s="107" t="s">
        <v>13</v>
      </c>
      <c r="P4" s="107"/>
      <c r="Q4" s="107" t="s">
        <v>68</v>
      </c>
      <c r="R4" s="107"/>
      <c r="S4" s="111"/>
      <c r="T4" s="111"/>
      <c r="U4" s="107"/>
      <c r="V4" s="107"/>
      <c r="W4" s="107"/>
      <c r="X4" s="107"/>
      <c r="Y4" s="107"/>
      <c r="Z4" s="107"/>
      <c r="AA4" s="107"/>
      <c r="AB4" s="107"/>
      <c r="AC4" s="113"/>
      <c r="AD4" s="107"/>
      <c r="AE4" s="15"/>
      <c r="AF4" s="40" t="s">
        <v>35</v>
      </c>
      <c r="AG4" s="78">
        <f>ROUND(H21/$AC$2,0)</f>
        <v>2</v>
      </c>
    </row>
    <row r="5" spans="1:59" s="37" customFormat="1" ht="23.75" customHeight="1">
      <c r="A5" s="111"/>
      <c r="B5" s="111"/>
      <c r="C5" s="39" t="s">
        <v>14</v>
      </c>
      <c r="D5" s="39" t="s">
        <v>15</v>
      </c>
      <c r="E5" s="39" t="s">
        <v>16</v>
      </c>
      <c r="F5" s="39" t="s">
        <v>17</v>
      </c>
      <c r="G5" s="111"/>
      <c r="H5" s="111"/>
      <c r="I5" s="111"/>
      <c r="J5" s="107"/>
      <c r="K5" s="40" t="s">
        <v>18</v>
      </c>
      <c r="L5" s="40" t="s">
        <v>19</v>
      </c>
      <c r="M5" s="40" t="s">
        <v>20</v>
      </c>
      <c r="N5" s="40" t="s">
        <v>21</v>
      </c>
      <c r="O5" s="40" t="s">
        <v>22</v>
      </c>
      <c r="P5" s="40" t="s">
        <v>23</v>
      </c>
      <c r="Q5" s="107"/>
      <c r="R5" s="107"/>
      <c r="S5" s="5" t="s">
        <v>61</v>
      </c>
      <c r="T5" s="6" t="s">
        <v>62</v>
      </c>
      <c r="U5" s="107"/>
      <c r="V5" s="107"/>
      <c r="W5" s="107"/>
      <c r="X5" s="6" t="s">
        <v>61</v>
      </c>
      <c r="Y5" s="6" t="s">
        <v>62</v>
      </c>
      <c r="Z5" s="6" t="s">
        <v>66</v>
      </c>
      <c r="AA5" s="107"/>
      <c r="AB5" s="107"/>
      <c r="AC5" s="114"/>
      <c r="AD5" s="107"/>
      <c r="AE5" s="15"/>
      <c r="AF5" s="40" t="s">
        <v>36</v>
      </c>
      <c r="AG5" s="89">
        <f>ROUND(J21/$AC$2,0)+ROUND(R21/$AC$2,0)</f>
        <v>0</v>
      </c>
    </row>
    <row r="6" spans="1:59" s="8" customFormat="1" ht="30.75" customHeight="1">
      <c r="A6" s="9">
        <v>1</v>
      </c>
      <c r="B6" s="9" t="s">
        <v>24</v>
      </c>
      <c r="C6" s="43">
        <v>1</v>
      </c>
      <c r="D6" s="68">
        <v>2</v>
      </c>
      <c r="E6" s="67">
        <v>3</v>
      </c>
      <c r="F6" s="68">
        <v>4</v>
      </c>
      <c r="G6" s="45">
        <v>2</v>
      </c>
      <c r="H6" s="46">
        <f t="shared" ref="H6:H10" si="0">(D6+F6)*G6</f>
        <v>12</v>
      </c>
      <c r="I6" s="71">
        <v>1</v>
      </c>
      <c r="J6" s="68">
        <v>1</v>
      </c>
      <c r="K6" s="69">
        <v>1</v>
      </c>
      <c r="L6" s="66">
        <v>1</v>
      </c>
      <c r="M6" s="66">
        <v>11</v>
      </c>
      <c r="N6" s="66"/>
      <c r="O6" s="66">
        <v>1</v>
      </c>
      <c r="P6" s="44">
        <v>1</v>
      </c>
      <c r="Q6" s="46">
        <f>SUM(K6:P6)</f>
        <v>15</v>
      </c>
      <c r="R6" s="48">
        <v>1</v>
      </c>
      <c r="S6" s="46">
        <f>SUM(H6,J6,Q6,R6)</f>
        <v>29</v>
      </c>
      <c r="T6" s="46">
        <f>ROUND(S6/$AC$2,0)</f>
        <v>5</v>
      </c>
      <c r="U6" s="66">
        <v>1</v>
      </c>
      <c r="V6" s="85"/>
      <c r="W6" s="44">
        <f>ROUND(T6+U6+V6,0)</f>
        <v>6</v>
      </c>
      <c r="X6" s="44"/>
      <c r="Y6" s="44"/>
      <c r="Z6" s="44">
        <f>ROUND(X6/$AC$2+Y6,0)</f>
        <v>0</v>
      </c>
      <c r="AA6" s="79">
        <f>W6-Z6</f>
        <v>6</v>
      </c>
      <c r="AB6" s="54"/>
      <c r="AC6" s="34">
        <f t="shared" ref="AC6:AC20" si="1">AA6-12000</f>
        <v>-11994</v>
      </c>
      <c r="AD6" s="104" t="s">
        <v>124</v>
      </c>
      <c r="AE6" s="15"/>
      <c r="AF6" s="40" t="s">
        <v>18</v>
      </c>
      <c r="AG6" s="78">
        <f>ROUND(K21/$AC$2,0)</f>
        <v>0</v>
      </c>
    </row>
    <row r="7" spans="1:59" s="8" customFormat="1" ht="16.5" customHeight="1">
      <c r="A7" s="9">
        <v>2</v>
      </c>
      <c r="B7" s="9" t="s">
        <v>27</v>
      </c>
      <c r="C7" s="73"/>
      <c r="D7" s="68"/>
      <c r="E7" s="67"/>
      <c r="F7" s="68"/>
      <c r="G7" s="45">
        <v>2</v>
      </c>
      <c r="H7" s="46">
        <f t="shared" ref="H7" si="2">(D7+F7)*G7</f>
        <v>0</v>
      </c>
      <c r="I7" s="71"/>
      <c r="J7" s="68"/>
      <c r="K7" s="85"/>
      <c r="L7" s="85"/>
      <c r="M7" s="69"/>
      <c r="N7" s="69"/>
      <c r="O7" s="69"/>
      <c r="P7" s="46"/>
      <c r="Q7" s="46">
        <f t="shared" ref="Q7" si="3">SUM(K7:P7)</f>
        <v>0</v>
      </c>
      <c r="R7" s="48"/>
      <c r="S7" s="46">
        <f t="shared" ref="S7" si="4">SUM(H7,J7,Q7,R7)</f>
        <v>0</v>
      </c>
      <c r="T7" s="46">
        <f t="shared" ref="T7" si="5">ROUND(S7/$AC$2,0)</f>
        <v>0</v>
      </c>
      <c r="U7" s="85"/>
      <c r="V7" s="85"/>
      <c r="W7" s="64">
        <f t="shared" ref="W7" si="6">ROUND(T7+U7+V7,0)</f>
        <v>0</v>
      </c>
      <c r="X7" s="64"/>
      <c r="Y7" s="64"/>
      <c r="Z7" s="44">
        <f t="shared" ref="Z7" si="7">ROUND(X7/$AC$2+Y7,0)</f>
        <v>0</v>
      </c>
      <c r="AA7" s="79">
        <f t="shared" ref="AA7" si="8">W7-Z7</f>
        <v>0</v>
      </c>
      <c r="AB7" s="55"/>
      <c r="AC7" s="34">
        <f t="shared" si="1"/>
        <v>-12000</v>
      </c>
      <c r="AD7" s="105" t="s">
        <v>125</v>
      </c>
      <c r="AE7" s="15"/>
      <c r="AF7" s="40" t="s">
        <v>19</v>
      </c>
      <c r="AG7" s="78">
        <f>ROUND(L21/$AC$2,0)</f>
        <v>0</v>
      </c>
    </row>
    <row r="8" spans="1:59" s="13" customFormat="1" ht="16.5" customHeight="1">
      <c r="A8" s="14">
        <v>3</v>
      </c>
      <c r="B8" s="9" t="s">
        <v>25</v>
      </c>
      <c r="C8" s="70"/>
      <c r="D8" s="68"/>
      <c r="E8" s="67"/>
      <c r="F8" s="68"/>
      <c r="G8" s="45">
        <v>2</v>
      </c>
      <c r="H8" s="46">
        <f t="shared" si="0"/>
        <v>0</v>
      </c>
      <c r="I8" s="71"/>
      <c r="J8" s="68"/>
      <c r="K8" s="69"/>
      <c r="L8" s="66"/>
      <c r="M8" s="69"/>
      <c r="N8" s="69"/>
      <c r="O8" s="69"/>
      <c r="P8" s="44"/>
      <c r="Q8" s="46">
        <f t="shared" ref="Q8" si="9">SUM(K8:P8)</f>
        <v>0</v>
      </c>
      <c r="R8" s="48"/>
      <c r="S8" s="46">
        <f t="shared" ref="S8" si="10">SUM(H8,J8,Q8,R8)</f>
        <v>0</v>
      </c>
      <c r="T8" s="46">
        <f t="shared" ref="T8" si="11">ROUND(S8/$AC$2,0)</f>
        <v>0</v>
      </c>
      <c r="U8" s="66"/>
      <c r="V8" s="85"/>
      <c r="W8" s="44">
        <f t="shared" ref="W8" si="12">ROUND(T8+U8+V8,0)</f>
        <v>0</v>
      </c>
      <c r="X8" s="44"/>
      <c r="Y8" s="44"/>
      <c r="Z8" s="44">
        <f t="shared" ref="Z8:Z10" si="13">ROUND(X8/$AC$2+Y8,0)</f>
        <v>0</v>
      </c>
      <c r="AA8" s="79">
        <f t="shared" ref="AA8:AA10" si="14">W8-Z8</f>
        <v>0</v>
      </c>
      <c r="AB8" s="54"/>
      <c r="AC8" s="34">
        <f t="shared" si="1"/>
        <v>-12000</v>
      </c>
      <c r="AD8" s="104" t="s">
        <v>126</v>
      </c>
      <c r="AE8" s="15"/>
      <c r="AF8" s="40" t="s">
        <v>20</v>
      </c>
      <c r="AG8" s="78">
        <f>ROUND(M21/$AC$2,0)</f>
        <v>2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8" customFormat="1" ht="16.5" customHeight="1">
      <c r="A9" s="9">
        <v>4</v>
      </c>
      <c r="B9" s="14" t="s">
        <v>26</v>
      </c>
      <c r="C9" s="70"/>
      <c r="D9" s="68"/>
      <c r="E9" s="67"/>
      <c r="F9" s="68"/>
      <c r="G9" s="45">
        <v>2</v>
      </c>
      <c r="H9" s="46">
        <f t="shared" si="0"/>
        <v>0</v>
      </c>
      <c r="I9" s="71"/>
      <c r="J9" s="72"/>
      <c r="K9" s="85"/>
      <c r="L9" s="85"/>
      <c r="M9" s="69"/>
      <c r="N9" s="69"/>
      <c r="O9" s="69"/>
      <c r="P9" s="64"/>
      <c r="Q9" s="64">
        <f>SUM(K9:P9)</f>
        <v>0</v>
      </c>
      <c r="R9" s="86"/>
      <c r="S9" s="64">
        <f>SUM(H9,J9,Q9,R9)</f>
        <v>0</v>
      </c>
      <c r="T9" s="64">
        <f>ROUND(S9/$AC$2,0)</f>
        <v>0</v>
      </c>
      <c r="U9" s="87"/>
      <c r="V9" s="85"/>
      <c r="W9" s="64">
        <f>ROUND(T9+U9+V9,0)</f>
        <v>0</v>
      </c>
      <c r="X9" s="64"/>
      <c r="Y9" s="64"/>
      <c r="Z9" s="44">
        <f t="shared" si="13"/>
        <v>0</v>
      </c>
      <c r="AA9" s="79">
        <f t="shared" si="14"/>
        <v>0</v>
      </c>
      <c r="AB9" s="65"/>
      <c r="AC9" s="34">
        <f t="shared" si="1"/>
        <v>-12000</v>
      </c>
      <c r="AD9" s="104" t="s">
        <v>127</v>
      </c>
      <c r="AE9" s="15"/>
      <c r="AF9" s="40" t="s">
        <v>21</v>
      </c>
      <c r="AG9" s="78">
        <f>ROUND(N21/$AC$2,0)</f>
        <v>0</v>
      </c>
    </row>
    <row r="10" spans="1:59" s="8" customFormat="1" ht="16.5" customHeight="1">
      <c r="A10" s="9">
        <v>5</v>
      </c>
      <c r="B10" s="9" t="s">
        <v>101</v>
      </c>
      <c r="C10" s="43"/>
      <c r="D10" s="82"/>
      <c r="E10" s="67"/>
      <c r="F10" s="82"/>
      <c r="G10" s="45">
        <v>2</v>
      </c>
      <c r="H10" s="64">
        <f t="shared" si="0"/>
        <v>0</v>
      </c>
      <c r="I10" s="83"/>
      <c r="J10" s="82"/>
      <c r="K10" s="69"/>
      <c r="L10" s="66"/>
      <c r="M10" s="69"/>
      <c r="N10" s="69"/>
      <c r="O10" s="69"/>
      <c r="P10" s="46"/>
      <c r="Q10" s="46">
        <f t="shared" ref="Q10" si="15">SUM(K10:P10)</f>
        <v>0</v>
      </c>
      <c r="R10" s="48"/>
      <c r="S10" s="46">
        <f t="shared" ref="S10" si="16">SUM(H10,J10,Q10,R10)</f>
        <v>0</v>
      </c>
      <c r="T10" s="46">
        <f t="shared" ref="T10" si="17">ROUND(S10/$AC$2,0)</f>
        <v>0</v>
      </c>
      <c r="U10" s="87"/>
      <c r="V10" s="85"/>
      <c r="W10" s="44">
        <f t="shared" ref="W10" si="18">ROUND(T10+U10+V10,0)</f>
        <v>0</v>
      </c>
      <c r="X10" s="44"/>
      <c r="Y10" s="44"/>
      <c r="Z10" s="44">
        <f t="shared" si="13"/>
        <v>0</v>
      </c>
      <c r="AA10" s="79">
        <f t="shared" si="14"/>
        <v>0</v>
      </c>
      <c r="AB10" s="54"/>
      <c r="AC10" s="34">
        <f t="shared" si="1"/>
        <v>-12000</v>
      </c>
      <c r="AD10" s="104" t="s">
        <v>128</v>
      </c>
      <c r="AE10" s="15"/>
      <c r="AF10" s="40" t="s">
        <v>22</v>
      </c>
      <c r="AG10" s="78">
        <f>ROUND(O21/$AC$2,0)</f>
        <v>0</v>
      </c>
    </row>
    <row r="11" spans="1:59" s="8" customFormat="1" ht="18" customHeight="1">
      <c r="A11" s="9">
        <v>6</v>
      </c>
      <c r="B11" s="14" t="s">
        <v>96</v>
      </c>
      <c r="C11" s="73"/>
      <c r="D11" s="68"/>
      <c r="E11" s="67"/>
      <c r="F11" s="68"/>
      <c r="G11" s="45">
        <v>2</v>
      </c>
      <c r="H11" s="44">
        <f>(D11+F11)*G11</f>
        <v>0</v>
      </c>
      <c r="I11" s="67"/>
      <c r="J11" s="68"/>
      <c r="K11" s="69"/>
      <c r="L11" s="66"/>
      <c r="M11" s="69"/>
      <c r="N11" s="69"/>
      <c r="O11" s="69"/>
      <c r="P11" s="46"/>
      <c r="Q11" s="46">
        <f t="shared" ref="Q11:Q14" si="19">SUM(K11:P11)</f>
        <v>0</v>
      </c>
      <c r="R11" s="48"/>
      <c r="S11" s="46">
        <f t="shared" ref="S11" si="20">SUM(H11,J11,Q11,R11)</f>
        <v>0</v>
      </c>
      <c r="T11" s="46">
        <f t="shared" ref="T11:T14" si="21">ROUND(S11/$AC$2,0)</f>
        <v>0</v>
      </c>
      <c r="U11" s="66"/>
      <c r="V11" s="85"/>
      <c r="W11" s="64">
        <f t="shared" ref="W11" si="22">ROUND(T11+U11+V11,0)</f>
        <v>0</v>
      </c>
      <c r="X11" s="64"/>
      <c r="Y11" s="64"/>
      <c r="Z11" s="44">
        <f t="shared" ref="Z11:Z17" si="23">ROUND(X11/$AC$2+Y11,0)</f>
        <v>0</v>
      </c>
      <c r="AA11" s="79">
        <f t="shared" ref="AA11:AA17" si="24">W11-Z11</f>
        <v>0</v>
      </c>
      <c r="AB11" s="54"/>
      <c r="AC11" s="34">
        <f t="shared" si="1"/>
        <v>-12000</v>
      </c>
      <c r="AD11" s="104" t="s">
        <v>129</v>
      </c>
      <c r="AE11" s="15"/>
      <c r="AF11" s="40" t="s">
        <v>23</v>
      </c>
      <c r="AG11" s="78">
        <f>ROUND(P21/$AC$2,0)</f>
        <v>0</v>
      </c>
    </row>
    <row r="12" spans="1:59" s="8" customFormat="1" ht="16.5" customHeight="1">
      <c r="A12" s="14">
        <v>7</v>
      </c>
      <c r="B12" s="9" t="s">
        <v>28</v>
      </c>
      <c r="C12" s="70"/>
      <c r="D12" s="68"/>
      <c r="E12" s="67"/>
      <c r="F12" s="68"/>
      <c r="G12" s="45">
        <v>2</v>
      </c>
      <c r="H12" s="46">
        <f t="shared" ref="H12:H13" si="25">(D12+F12)*G12</f>
        <v>0</v>
      </c>
      <c r="I12" s="71"/>
      <c r="J12" s="68"/>
      <c r="K12" s="85"/>
      <c r="L12" s="85"/>
      <c r="M12" s="69"/>
      <c r="N12" s="69"/>
      <c r="O12" s="69"/>
      <c r="P12" s="46"/>
      <c r="Q12" s="46">
        <f t="shared" si="19"/>
        <v>0</v>
      </c>
      <c r="R12" s="48"/>
      <c r="S12" s="46">
        <f>SUM(H12,J12,Q12,R12)</f>
        <v>0</v>
      </c>
      <c r="T12" s="46">
        <f t="shared" si="21"/>
        <v>0</v>
      </c>
      <c r="U12" s="66"/>
      <c r="V12" s="85"/>
      <c r="W12" s="44">
        <f>ROUND(T12+U12+V12,0)</f>
        <v>0</v>
      </c>
      <c r="X12" s="44"/>
      <c r="Y12" s="44"/>
      <c r="Z12" s="44">
        <f t="shared" si="23"/>
        <v>0</v>
      </c>
      <c r="AA12" s="79">
        <f t="shared" si="24"/>
        <v>0</v>
      </c>
      <c r="AB12" s="54"/>
      <c r="AC12" s="34">
        <f t="shared" si="1"/>
        <v>-12000</v>
      </c>
      <c r="AD12" s="104" t="s">
        <v>130</v>
      </c>
      <c r="AE12" s="15"/>
      <c r="AF12" s="40" t="s">
        <v>76</v>
      </c>
      <c r="AG12" s="78"/>
    </row>
    <row r="13" spans="1:59" s="8" customFormat="1" ht="16.5" customHeight="1">
      <c r="A13" s="9">
        <v>8</v>
      </c>
      <c r="B13" s="9" t="s">
        <v>29</v>
      </c>
      <c r="C13" s="70"/>
      <c r="D13" s="68"/>
      <c r="E13" s="67"/>
      <c r="F13" s="68"/>
      <c r="G13" s="45">
        <v>2</v>
      </c>
      <c r="H13" s="46">
        <f t="shared" si="25"/>
        <v>0</v>
      </c>
      <c r="I13" s="71"/>
      <c r="J13" s="72"/>
      <c r="K13" s="69"/>
      <c r="L13" s="69"/>
      <c r="M13" s="69"/>
      <c r="N13" s="69"/>
      <c r="O13" s="69"/>
      <c r="P13" s="46"/>
      <c r="Q13" s="46">
        <f t="shared" si="19"/>
        <v>0</v>
      </c>
      <c r="R13" s="48"/>
      <c r="S13" s="46">
        <f t="shared" ref="S13:S14" si="26">SUM(H13,J13,Q13,R13)</f>
        <v>0</v>
      </c>
      <c r="T13" s="46">
        <f t="shared" si="21"/>
        <v>0</v>
      </c>
      <c r="U13" s="66"/>
      <c r="V13" s="85"/>
      <c r="W13" s="44">
        <f t="shared" ref="W13:W14" si="27">ROUND(T13+U13+V13,0)</f>
        <v>0</v>
      </c>
      <c r="X13" s="44"/>
      <c r="Y13" s="44"/>
      <c r="Z13" s="44">
        <f t="shared" si="23"/>
        <v>0</v>
      </c>
      <c r="AA13" s="79">
        <f t="shared" si="24"/>
        <v>0</v>
      </c>
      <c r="AB13" s="54"/>
      <c r="AC13" s="34">
        <f t="shared" si="1"/>
        <v>-12000</v>
      </c>
      <c r="AD13" s="104" t="s">
        <v>131</v>
      </c>
      <c r="AE13" s="15"/>
      <c r="AF13" s="56" t="s">
        <v>72</v>
      </c>
      <c r="AG13" s="77">
        <f>U21</f>
        <v>1</v>
      </c>
    </row>
    <row r="14" spans="1:59" s="8" customFormat="1" ht="16.5" customHeight="1">
      <c r="A14" s="9">
        <v>9</v>
      </c>
      <c r="B14" s="9" t="s">
        <v>88</v>
      </c>
      <c r="C14" s="70"/>
      <c r="D14" s="68"/>
      <c r="E14" s="83"/>
      <c r="F14" s="68"/>
      <c r="G14" s="84">
        <v>2</v>
      </c>
      <c r="H14" s="64">
        <f>(D14+F14)*G14</f>
        <v>0</v>
      </c>
      <c r="I14" s="83"/>
      <c r="J14" s="68"/>
      <c r="K14" s="69"/>
      <c r="L14" s="66"/>
      <c r="M14" s="69"/>
      <c r="N14" s="69"/>
      <c r="O14" s="69"/>
      <c r="P14" s="46"/>
      <c r="Q14" s="46">
        <f t="shared" si="19"/>
        <v>0</v>
      </c>
      <c r="R14" s="48"/>
      <c r="S14" s="46">
        <f t="shared" si="26"/>
        <v>0</v>
      </c>
      <c r="T14" s="46">
        <f t="shared" si="21"/>
        <v>0</v>
      </c>
      <c r="U14" s="87"/>
      <c r="V14" s="85"/>
      <c r="W14" s="44">
        <f t="shared" si="27"/>
        <v>0</v>
      </c>
      <c r="X14" s="44"/>
      <c r="Y14" s="44"/>
      <c r="Z14" s="44">
        <f t="shared" si="23"/>
        <v>0</v>
      </c>
      <c r="AA14" s="79">
        <f t="shared" si="24"/>
        <v>0</v>
      </c>
      <c r="AB14" s="54"/>
      <c r="AC14" s="34">
        <f t="shared" si="1"/>
        <v>-12000</v>
      </c>
      <c r="AD14" s="104" t="s">
        <v>132</v>
      </c>
      <c r="AE14" s="15"/>
      <c r="AF14" s="27" t="s">
        <v>73</v>
      </c>
      <c r="AG14" s="57">
        <v>-3</v>
      </c>
    </row>
    <row r="15" spans="1:59" s="8" customFormat="1" ht="18" customHeight="1">
      <c r="A15" s="9">
        <v>10</v>
      </c>
      <c r="B15" s="9" t="s">
        <v>30</v>
      </c>
      <c r="C15" s="70"/>
      <c r="D15" s="68"/>
      <c r="E15" s="67"/>
      <c r="F15" s="68"/>
      <c r="G15" s="45">
        <v>2</v>
      </c>
      <c r="H15" s="64">
        <f t="shared" ref="H15" si="28">(D15+F15)*G15</f>
        <v>0</v>
      </c>
      <c r="I15" s="83"/>
      <c r="J15" s="68"/>
      <c r="K15" s="85"/>
      <c r="L15" s="85"/>
      <c r="M15" s="85"/>
      <c r="N15" s="85"/>
      <c r="O15" s="69"/>
      <c r="P15" s="64"/>
      <c r="Q15" s="64">
        <f>SUM(K15:P15)</f>
        <v>0</v>
      </c>
      <c r="R15" s="86"/>
      <c r="S15" s="64">
        <f>SUM(H15,J15,Q15,R15)</f>
        <v>0</v>
      </c>
      <c r="T15" s="64">
        <f>ROUND(S15/$AC$2,0)</f>
        <v>0</v>
      </c>
      <c r="U15" s="87"/>
      <c r="V15" s="85"/>
      <c r="W15" s="44">
        <f>ROUND(T15+U15+V15,0)</f>
        <v>0</v>
      </c>
      <c r="X15" s="44"/>
      <c r="Y15" s="44"/>
      <c r="Z15" s="44">
        <f t="shared" si="23"/>
        <v>0</v>
      </c>
      <c r="AA15" s="79">
        <f t="shared" si="24"/>
        <v>0</v>
      </c>
      <c r="AB15" s="65"/>
      <c r="AC15" s="34">
        <f t="shared" si="1"/>
        <v>-12000</v>
      </c>
      <c r="AD15" s="104" t="s">
        <v>133</v>
      </c>
      <c r="AE15" s="15"/>
      <c r="AF15" s="28" t="s">
        <v>74</v>
      </c>
      <c r="AG15" s="78">
        <f>SUM(AG13:AG14)</f>
        <v>-2</v>
      </c>
    </row>
    <row r="16" spans="1:59" s="8" customFormat="1" ht="16.5" customHeight="1">
      <c r="A16" s="14">
        <v>11</v>
      </c>
      <c r="B16" s="9"/>
      <c r="C16" s="43"/>
      <c r="D16" s="82"/>
      <c r="E16" s="67"/>
      <c r="F16" s="82"/>
      <c r="G16" s="45">
        <v>2</v>
      </c>
      <c r="H16" s="64">
        <f t="shared" ref="H16:H17" si="29">(D16+F16)*G16</f>
        <v>0</v>
      </c>
      <c r="I16" s="83"/>
      <c r="J16" s="82"/>
      <c r="K16" s="69"/>
      <c r="L16" s="66"/>
      <c r="M16" s="69"/>
      <c r="N16" s="69"/>
      <c r="O16" s="69"/>
      <c r="P16" s="46"/>
      <c r="Q16" s="46">
        <f t="shared" ref="Q16:Q17" si="30">SUM(K16:P16)</f>
        <v>0</v>
      </c>
      <c r="R16" s="48"/>
      <c r="S16" s="46">
        <f t="shared" ref="S16:S17" si="31">SUM(H16,J16,Q16,R16)</f>
        <v>0</v>
      </c>
      <c r="T16" s="46">
        <f t="shared" ref="T16:T17" si="32">ROUND(S16/$AC$2,0)</f>
        <v>0</v>
      </c>
      <c r="U16" s="87"/>
      <c r="V16" s="85"/>
      <c r="W16" s="44">
        <f t="shared" ref="W16:W17" si="33">ROUND(T16+U16+V16,0)</f>
        <v>0</v>
      </c>
      <c r="X16" s="44"/>
      <c r="Y16" s="44"/>
      <c r="Z16" s="44">
        <f t="shared" si="23"/>
        <v>0</v>
      </c>
      <c r="AA16" s="79">
        <f t="shared" si="24"/>
        <v>0</v>
      </c>
      <c r="AB16" s="54"/>
      <c r="AC16" s="34">
        <f t="shared" si="1"/>
        <v>-12000</v>
      </c>
      <c r="AD16" s="54"/>
      <c r="AE16" s="15"/>
      <c r="AF16" s="28" t="s">
        <v>75</v>
      </c>
      <c r="AG16" s="78">
        <f>V21</f>
        <v>0</v>
      </c>
    </row>
    <row r="17" spans="1:42" s="8" customFormat="1" ht="16.5" customHeight="1">
      <c r="A17" s="9">
        <v>12</v>
      </c>
      <c r="B17" s="9"/>
      <c r="C17" s="43"/>
      <c r="D17" s="82"/>
      <c r="E17" s="67"/>
      <c r="F17" s="82"/>
      <c r="G17" s="84">
        <v>2</v>
      </c>
      <c r="H17" s="64">
        <f t="shared" si="29"/>
        <v>0</v>
      </c>
      <c r="I17" s="83"/>
      <c r="J17" s="82"/>
      <c r="K17" s="85"/>
      <c r="L17" s="85"/>
      <c r="M17" s="85"/>
      <c r="N17" s="85"/>
      <c r="O17" s="85"/>
      <c r="P17" s="64"/>
      <c r="Q17" s="64">
        <f t="shared" si="30"/>
        <v>0</v>
      </c>
      <c r="R17" s="86"/>
      <c r="S17" s="64">
        <f t="shared" si="31"/>
        <v>0</v>
      </c>
      <c r="T17" s="64">
        <f t="shared" si="32"/>
        <v>0</v>
      </c>
      <c r="U17" s="85"/>
      <c r="V17" s="85"/>
      <c r="W17" s="44">
        <f t="shared" si="33"/>
        <v>0</v>
      </c>
      <c r="X17" s="44"/>
      <c r="Y17" s="44"/>
      <c r="Z17" s="44">
        <f t="shared" si="23"/>
        <v>0</v>
      </c>
      <c r="AA17" s="79">
        <f t="shared" si="24"/>
        <v>0</v>
      </c>
      <c r="AB17" s="54"/>
      <c r="AC17" s="34">
        <f t="shared" si="1"/>
        <v>-12000</v>
      </c>
      <c r="AD17" s="54"/>
      <c r="AE17" s="15"/>
      <c r="AF17" s="28" t="s">
        <v>63</v>
      </c>
      <c r="AG17" s="78">
        <f>ROUND(Z21,0)</f>
        <v>0</v>
      </c>
    </row>
    <row r="18" spans="1:42" s="8" customFormat="1" ht="16.5" customHeight="1">
      <c r="A18" s="9">
        <v>13</v>
      </c>
      <c r="B18" s="9"/>
      <c r="C18" s="70"/>
      <c r="D18" s="82"/>
      <c r="E18" s="83"/>
      <c r="F18" s="82"/>
      <c r="G18" s="84">
        <v>2</v>
      </c>
      <c r="H18" s="64">
        <f t="shared" ref="H18:H20" si="34">(D18+F18)*G18</f>
        <v>0</v>
      </c>
      <c r="I18" s="83"/>
      <c r="J18" s="82"/>
      <c r="K18" s="85"/>
      <c r="L18" s="85"/>
      <c r="M18" s="85"/>
      <c r="N18" s="85"/>
      <c r="O18" s="85"/>
      <c r="P18" s="64"/>
      <c r="Q18" s="64">
        <f t="shared" ref="Q18:Q20" si="35">SUM(K18:P18)</f>
        <v>0</v>
      </c>
      <c r="R18" s="86"/>
      <c r="S18" s="64">
        <f t="shared" ref="S18:S20" si="36">SUM(H18,J18,Q18,R18)</f>
        <v>0</v>
      </c>
      <c r="T18" s="64">
        <f t="shared" ref="T18:T20" si="37">ROUND(S18/$AC$2,0)</f>
        <v>0</v>
      </c>
      <c r="U18" s="85"/>
      <c r="V18" s="85"/>
      <c r="W18" s="44">
        <f t="shared" ref="W18:W20" si="38">ROUND(T18+U18+V18,0)</f>
        <v>0</v>
      </c>
      <c r="X18" s="44"/>
      <c r="Y18" s="44"/>
      <c r="Z18" s="44">
        <f t="shared" ref="Z18:Z20" si="39">ROUND(X18/$AC$2+Y18,0)</f>
        <v>0</v>
      </c>
      <c r="AA18" s="79">
        <f t="shared" ref="AA18:AA20" si="40">W18-Z18</f>
        <v>0</v>
      </c>
      <c r="AB18" s="54"/>
      <c r="AC18" s="34">
        <f t="shared" si="1"/>
        <v>-12000</v>
      </c>
      <c r="AD18" s="54"/>
      <c r="AE18" s="15"/>
      <c r="AF18" s="12" t="s">
        <v>53</v>
      </c>
      <c r="AG18" s="57">
        <f>SUM(AG4:AG12,AG15,AG16)-AG17</f>
        <v>2</v>
      </c>
    </row>
    <row r="19" spans="1:42" s="8" customFormat="1" ht="16.5" customHeight="1">
      <c r="A19" s="9">
        <v>14</v>
      </c>
      <c r="B19" s="9"/>
      <c r="C19" s="70"/>
      <c r="D19" s="82"/>
      <c r="E19" s="83"/>
      <c r="F19" s="82"/>
      <c r="G19" s="84">
        <v>2</v>
      </c>
      <c r="H19" s="64">
        <f t="shared" si="34"/>
        <v>0</v>
      </c>
      <c r="I19" s="83"/>
      <c r="J19" s="82"/>
      <c r="K19" s="85"/>
      <c r="L19" s="85"/>
      <c r="M19" s="85"/>
      <c r="N19" s="85"/>
      <c r="O19" s="85"/>
      <c r="P19" s="64"/>
      <c r="Q19" s="64">
        <f t="shared" si="35"/>
        <v>0</v>
      </c>
      <c r="R19" s="86"/>
      <c r="S19" s="64">
        <f t="shared" si="36"/>
        <v>0</v>
      </c>
      <c r="T19" s="64">
        <f t="shared" si="37"/>
        <v>0</v>
      </c>
      <c r="U19" s="85"/>
      <c r="V19" s="85"/>
      <c r="W19" s="44">
        <f t="shared" si="38"/>
        <v>0</v>
      </c>
      <c r="X19" s="44"/>
      <c r="Y19" s="44"/>
      <c r="Z19" s="44">
        <f t="shared" si="39"/>
        <v>0</v>
      </c>
      <c r="AA19" s="79">
        <f t="shared" si="40"/>
        <v>0</v>
      </c>
      <c r="AB19" s="54"/>
      <c r="AC19" s="34">
        <f t="shared" si="1"/>
        <v>-12000</v>
      </c>
      <c r="AD19" s="54"/>
      <c r="AE19" s="15"/>
      <c r="AF19" s="108" t="str">
        <f>IF(AG18-AA21=0,"左右一致","与工资发放表（左表）汇总数不一致")</f>
        <v>与工资发放表（左表）汇总数不一致</v>
      </c>
      <c r="AG19" s="109"/>
    </row>
    <row r="20" spans="1:42" s="8" customFormat="1" ht="16.5" customHeight="1">
      <c r="A20" s="14">
        <v>15</v>
      </c>
      <c r="B20" s="9"/>
      <c r="C20" s="70"/>
      <c r="D20" s="82"/>
      <c r="E20" s="83"/>
      <c r="F20" s="82"/>
      <c r="G20" s="84">
        <v>2</v>
      </c>
      <c r="H20" s="64">
        <f t="shared" si="34"/>
        <v>0</v>
      </c>
      <c r="I20" s="83"/>
      <c r="J20" s="82"/>
      <c r="K20" s="85"/>
      <c r="L20" s="85"/>
      <c r="M20" s="85"/>
      <c r="N20" s="85"/>
      <c r="O20" s="85"/>
      <c r="P20" s="64"/>
      <c r="Q20" s="64">
        <f t="shared" si="35"/>
        <v>0</v>
      </c>
      <c r="R20" s="86"/>
      <c r="S20" s="64">
        <f t="shared" si="36"/>
        <v>0</v>
      </c>
      <c r="T20" s="64">
        <f t="shared" si="37"/>
        <v>0</v>
      </c>
      <c r="U20" s="85"/>
      <c r="V20" s="85"/>
      <c r="W20" s="44">
        <f t="shared" si="38"/>
        <v>0</v>
      </c>
      <c r="X20" s="44"/>
      <c r="Y20" s="44"/>
      <c r="Z20" s="44">
        <f t="shared" si="39"/>
        <v>0</v>
      </c>
      <c r="AA20" s="79">
        <f t="shared" si="40"/>
        <v>0</v>
      </c>
      <c r="AB20" s="54"/>
      <c r="AC20" s="34">
        <f t="shared" si="1"/>
        <v>-12000</v>
      </c>
      <c r="AD20" s="54"/>
      <c r="AE20" s="15"/>
      <c r="AF20" s="15"/>
      <c r="AG20" s="15"/>
    </row>
    <row r="21" spans="1:42" s="2" customFormat="1" ht="16.5" customHeight="1">
      <c r="A21" s="12"/>
      <c r="B21" s="4" t="s">
        <v>32</v>
      </c>
      <c r="C21" s="43"/>
      <c r="D21" s="51">
        <f>SUM(D6:D20)</f>
        <v>2</v>
      </c>
      <c r="E21" s="52"/>
      <c r="F21" s="51">
        <f>SUM(F6:F20)</f>
        <v>4</v>
      </c>
      <c r="G21" s="52"/>
      <c r="H21" s="48">
        <f>SUM(H6:H20)</f>
        <v>12</v>
      </c>
      <c r="I21" s="47"/>
      <c r="J21" s="46">
        <f t="shared" ref="J21:AA21" si="41">SUM(J6:J20)</f>
        <v>1</v>
      </c>
      <c r="K21" s="46">
        <f t="shared" si="41"/>
        <v>1</v>
      </c>
      <c r="L21" s="46">
        <f t="shared" si="41"/>
        <v>1</v>
      </c>
      <c r="M21" s="46">
        <f t="shared" si="41"/>
        <v>11</v>
      </c>
      <c r="N21" s="46">
        <f t="shared" si="41"/>
        <v>0</v>
      </c>
      <c r="O21" s="46">
        <f t="shared" si="41"/>
        <v>1</v>
      </c>
      <c r="P21" s="46">
        <f t="shared" si="41"/>
        <v>1</v>
      </c>
      <c r="Q21" s="46">
        <f t="shared" si="41"/>
        <v>15</v>
      </c>
      <c r="R21" s="48">
        <f t="shared" si="41"/>
        <v>1</v>
      </c>
      <c r="S21" s="48">
        <f t="shared" si="41"/>
        <v>29</v>
      </c>
      <c r="T21" s="46">
        <f t="shared" si="41"/>
        <v>5</v>
      </c>
      <c r="U21" s="46">
        <f t="shared" si="41"/>
        <v>1</v>
      </c>
      <c r="V21" s="46">
        <f t="shared" si="41"/>
        <v>0</v>
      </c>
      <c r="W21" s="46">
        <f t="shared" si="41"/>
        <v>6</v>
      </c>
      <c r="X21" s="46">
        <f t="shared" si="41"/>
        <v>0</v>
      </c>
      <c r="Y21" s="46">
        <f t="shared" si="41"/>
        <v>0</v>
      </c>
      <c r="Z21" s="46">
        <f t="shared" si="41"/>
        <v>0</v>
      </c>
      <c r="AA21" s="46">
        <f t="shared" si="41"/>
        <v>6</v>
      </c>
      <c r="AB21" s="54"/>
      <c r="AC21" s="15"/>
      <c r="AD21" s="54"/>
      <c r="AE21" s="15"/>
      <c r="AF21" s="15"/>
      <c r="AG21" s="15"/>
      <c r="AH21" s="8"/>
      <c r="AI21" s="8"/>
      <c r="AJ21" s="8"/>
      <c r="AK21" s="8"/>
      <c r="AL21" s="8"/>
      <c r="AM21" s="8"/>
      <c r="AN21" s="8"/>
      <c r="AO21" s="8"/>
    </row>
    <row r="22" spans="1:42" s="2" customFormat="1">
      <c r="B22" s="17"/>
      <c r="C22" s="17"/>
      <c r="D22" s="17"/>
      <c r="E22" s="18"/>
      <c r="F22" s="19"/>
      <c r="G22" s="19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21"/>
      <c r="S22" s="19"/>
      <c r="T22" s="19"/>
      <c r="U22" s="19"/>
      <c r="V22" s="19"/>
      <c r="W22" s="19"/>
      <c r="X22" s="19"/>
      <c r="Y22" s="19"/>
      <c r="Z22" s="19"/>
      <c r="AA22" s="19"/>
      <c r="AC22" s="15"/>
      <c r="AE22" s="15"/>
      <c r="AF22" s="15"/>
      <c r="AG22" s="15"/>
      <c r="AH22" s="8"/>
      <c r="AI22" s="8"/>
      <c r="AJ22" s="8"/>
      <c r="AK22" s="8"/>
      <c r="AL22" s="8"/>
      <c r="AM22" s="8"/>
      <c r="AN22" s="8"/>
      <c r="AO22" s="8"/>
      <c r="AP22" s="8"/>
    </row>
    <row r="23" spans="1:42" s="2" customFormat="1" ht="12.75" customHeight="1">
      <c r="B23" s="8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22"/>
      <c r="V23" s="22"/>
      <c r="W23" s="22"/>
      <c r="X23" s="23"/>
      <c r="Y23" s="23"/>
      <c r="Z23" s="23"/>
      <c r="AA23" s="23"/>
      <c r="AB23" s="22"/>
      <c r="AC23" s="15"/>
      <c r="AD23" s="22"/>
      <c r="AE23" s="15"/>
      <c r="AF23" s="15"/>
      <c r="AG23" s="15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2" customFormat="1" ht="20.25" customHeight="1">
      <c r="B24" s="8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5"/>
      <c r="AD24" s="15"/>
      <c r="AE24" s="15"/>
      <c r="AF24" s="15"/>
      <c r="AG24" s="15"/>
      <c r="AH24" s="8"/>
      <c r="AI24" s="8"/>
      <c r="AJ24" s="8"/>
      <c r="AK24" s="8"/>
      <c r="AL24" s="8"/>
      <c r="AM24" s="8"/>
      <c r="AN24" s="8"/>
      <c r="AO24" s="8"/>
      <c r="AP24" s="8"/>
    </row>
    <row r="25" spans="1:42" s="2" customFormat="1" ht="19.5" customHeight="1">
      <c r="B25" s="8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5"/>
      <c r="AD25" s="15"/>
      <c r="AE25" s="15"/>
      <c r="AF25" s="15"/>
      <c r="AG25" s="15"/>
      <c r="AH25" s="8"/>
      <c r="AI25" s="8"/>
      <c r="AJ25" s="8"/>
      <c r="AK25" s="8"/>
      <c r="AL25" s="8"/>
      <c r="AM25" s="8"/>
      <c r="AN25" s="8"/>
      <c r="AO25" s="8"/>
      <c r="AP25" s="8"/>
    </row>
    <row r="26" spans="1:42" s="2" customFormat="1" ht="18.75" customHeight="1">
      <c r="B26" s="8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5"/>
      <c r="AD26" s="15"/>
      <c r="AE26" s="15"/>
      <c r="AF26" s="15"/>
      <c r="AG26" s="15"/>
      <c r="AH26" s="8"/>
      <c r="AI26" s="8"/>
      <c r="AJ26" s="8"/>
      <c r="AK26" s="8"/>
      <c r="AL26" s="8"/>
      <c r="AM26" s="8"/>
      <c r="AN26" s="8"/>
      <c r="AO26" s="8"/>
      <c r="AP26" s="8"/>
    </row>
    <row r="27" spans="1:42" s="2" customFormat="1" ht="18" customHeight="1">
      <c r="B27" s="8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5"/>
      <c r="AD27" s="15"/>
      <c r="AE27" s="15"/>
      <c r="AF27" s="15"/>
      <c r="AG27" s="15"/>
      <c r="AH27" s="8"/>
      <c r="AI27" s="8"/>
      <c r="AJ27" s="8"/>
      <c r="AK27" s="8"/>
      <c r="AL27" s="8"/>
      <c r="AM27" s="8"/>
      <c r="AN27" s="8"/>
      <c r="AO27" s="8"/>
      <c r="AP27" s="8"/>
    </row>
    <row r="28" spans="1:42" s="2" customFormat="1" ht="20.25" customHeight="1">
      <c r="B28" s="15"/>
      <c r="C28" s="15"/>
      <c r="D28" s="15"/>
      <c r="E28" s="63"/>
      <c r="F28" s="63" t="s">
        <v>83</v>
      </c>
      <c r="G28" s="63"/>
      <c r="H28" s="63"/>
      <c r="I28" s="25"/>
      <c r="J28" s="24"/>
      <c r="K28" s="24"/>
      <c r="L28" s="24"/>
      <c r="M28" s="24"/>
      <c r="N28" s="24"/>
      <c r="O28" s="24"/>
      <c r="P28" s="24"/>
      <c r="Q28" s="63"/>
      <c r="R28" s="63" t="s">
        <v>70</v>
      </c>
      <c r="S28" s="15"/>
      <c r="T28" s="2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G28" s="3"/>
      <c r="AH28" s="8"/>
      <c r="AI28" s="8"/>
      <c r="AJ28" s="8"/>
      <c r="AK28" s="8"/>
      <c r="AL28" s="8"/>
      <c r="AM28" s="8"/>
      <c r="AN28" s="8"/>
      <c r="AO28" s="8"/>
      <c r="AP28" s="8"/>
    </row>
    <row r="29" spans="1:42" s="1" customFormat="1" ht="20.25" customHeight="1">
      <c r="B29" s="15"/>
      <c r="C29" s="15"/>
      <c r="D29" s="15"/>
      <c r="E29" s="15"/>
      <c r="F29" s="24"/>
      <c r="G29" s="24"/>
      <c r="H29" s="24"/>
      <c r="I29" s="25"/>
      <c r="J29" s="24"/>
      <c r="K29" s="24"/>
      <c r="L29" s="24"/>
      <c r="M29" s="24"/>
      <c r="N29" s="24"/>
      <c r="O29" s="24"/>
      <c r="P29" s="24"/>
      <c r="Q29" s="24"/>
      <c r="R29" s="24"/>
      <c r="S29" s="15"/>
      <c r="T29" s="26"/>
      <c r="U29" s="15"/>
      <c r="V29" s="15"/>
      <c r="W29" s="15"/>
      <c r="X29" s="15"/>
      <c r="Y29" s="15"/>
      <c r="Z29" s="15"/>
      <c r="AA29" s="15"/>
      <c r="AB29" s="15"/>
      <c r="AD29" s="15"/>
      <c r="AF29" s="15"/>
      <c r="AG29" s="15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1.25" customHeight="1">
      <c r="AH30" s="8"/>
      <c r="AI30" s="8"/>
      <c r="AJ30" s="8"/>
      <c r="AK30" s="8"/>
      <c r="AL30" s="8"/>
      <c r="AM30" s="8"/>
      <c r="AN30" s="8"/>
      <c r="AO30" s="8"/>
      <c r="AP30" s="8"/>
    </row>
    <row r="31" spans="1:42">
      <c r="AH31" s="8"/>
      <c r="AI31" s="8"/>
      <c r="AJ31" s="8"/>
      <c r="AK31" s="8"/>
      <c r="AL31" s="8"/>
      <c r="AM31" s="8"/>
      <c r="AN31" s="8"/>
      <c r="AO31" s="8"/>
      <c r="AP31" s="8"/>
    </row>
    <row r="32" spans="1:42">
      <c r="AH32" s="8"/>
      <c r="AI32" s="8"/>
      <c r="AJ32" s="8"/>
      <c r="AK32" s="8"/>
      <c r="AL32" s="8"/>
      <c r="AM32" s="8"/>
      <c r="AN32" s="8"/>
      <c r="AO32" s="8"/>
      <c r="AP32" s="8"/>
    </row>
    <row r="33" spans="34:42">
      <c r="AH33" s="8"/>
      <c r="AI33" s="8"/>
      <c r="AJ33" s="8"/>
      <c r="AK33" s="8"/>
      <c r="AL33" s="8"/>
      <c r="AM33" s="8"/>
      <c r="AN33" s="8"/>
      <c r="AO33" s="8"/>
      <c r="AP33" s="8"/>
    </row>
    <row r="34" spans="34:42">
      <c r="AH34" s="8"/>
      <c r="AI34" s="8"/>
      <c r="AJ34" s="8"/>
      <c r="AK34" s="8"/>
      <c r="AL34" s="8"/>
      <c r="AM34" s="8"/>
      <c r="AN34" s="8"/>
      <c r="AO34" s="8"/>
      <c r="AP34" s="8"/>
    </row>
    <row r="35" spans="34:42">
      <c r="AH35" s="8"/>
      <c r="AI35" s="8"/>
      <c r="AJ35" s="8"/>
      <c r="AK35" s="8"/>
      <c r="AL35" s="8"/>
      <c r="AM35" s="8"/>
      <c r="AN35" s="8"/>
      <c r="AO35" s="8"/>
      <c r="AP35" s="8"/>
    </row>
    <row r="36" spans="34:42" ht="12" customHeight="1">
      <c r="AH36" s="8"/>
      <c r="AI36" s="8"/>
      <c r="AJ36" s="8"/>
      <c r="AK36" s="8"/>
      <c r="AL36" s="8"/>
      <c r="AM36" s="8"/>
      <c r="AN36" s="8"/>
      <c r="AO36" s="8"/>
      <c r="AP36" s="8"/>
    </row>
    <row r="37" spans="34:42" ht="11.25" customHeight="1">
      <c r="AH37" s="8"/>
      <c r="AI37" s="8"/>
      <c r="AJ37" s="8"/>
      <c r="AK37" s="8"/>
      <c r="AL37" s="8"/>
      <c r="AM37" s="8"/>
      <c r="AN37" s="8"/>
      <c r="AO37" s="8"/>
      <c r="AP37" s="8"/>
    </row>
    <row r="38" spans="34:42" ht="11.25" customHeight="1">
      <c r="AH38" s="8"/>
      <c r="AI38" s="8"/>
      <c r="AJ38" s="8"/>
      <c r="AK38" s="8"/>
      <c r="AL38" s="8"/>
      <c r="AM38" s="8"/>
      <c r="AN38" s="8"/>
      <c r="AO38" s="8"/>
      <c r="AP38" s="8"/>
    </row>
    <row r="39" spans="34:42" ht="11.25" customHeight="1">
      <c r="AH39" s="8"/>
      <c r="AI39" s="8"/>
      <c r="AJ39" s="8"/>
      <c r="AK39" s="8"/>
      <c r="AL39" s="8"/>
      <c r="AM39" s="8"/>
      <c r="AN39" s="8"/>
      <c r="AO39" s="8"/>
      <c r="AP39" s="8"/>
    </row>
    <row r="40" spans="34:42" ht="11.25" customHeight="1">
      <c r="AH40" s="8"/>
      <c r="AI40" s="8"/>
      <c r="AJ40" s="8"/>
      <c r="AK40" s="8"/>
      <c r="AL40" s="8"/>
      <c r="AM40" s="8"/>
      <c r="AN40" s="8"/>
      <c r="AO40" s="8"/>
      <c r="AP40" s="8"/>
    </row>
    <row r="41" spans="34:42" ht="11.25" customHeight="1">
      <c r="AH41" s="8"/>
      <c r="AI41" s="8"/>
      <c r="AJ41" s="8"/>
      <c r="AK41" s="8"/>
      <c r="AL41" s="8"/>
      <c r="AM41" s="8"/>
      <c r="AN41" s="8"/>
      <c r="AO41" s="8"/>
      <c r="AP41" s="8"/>
    </row>
    <row r="42" spans="34:42" ht="11.25" customHeight="1">
      <c r="AH42" s="8"/>
      <c r="AI42" s="8"/>
      <c r="AJ42" s="8"/>
      <c r="AK42" s="8"/>
      <c r="AL42" s="8"/>
      <c r="AM42" s="8"/>
      <c r="AN42" s="8"/>
      <c r="AO42" s="8"/>
      <c r="AP42" s="8"/>
    </row>
    <row r="43" spans="34:42">
      <c r="AH43" s="8"/>
      <c r="AI43" s="8"/>
      <c r="AJ43" s="8"/>
      <c r="AK43" s="8"/>
      <c r="AL43" s="8"/>
      <c r="AM43" s="8"/>
      <c r="AN43" s="8"/>
      <c r="AO43" s="8"/>
      <c r="AP43" s="2"/>
    </row>
    <row r="44" spans="34:42">
      <c r="AH44" s="8"/>
    </row>
    <row r="45" spans="34:42">
      <c r="AH45" s="8"/>
    </row>
  </sheetData>
  <mergeCells count="30">
    <mergeCell ref="J3:J5"/>
    <mergeCell ref="C27:AB27"/>
    <mergeCell ref="AC3:AC5"/>
    <mergeCell ref="A3:A5"/>
    <mergeCell ref="A1:AB1"/>
    <mergeCell ref="A2:AB2"/>
    <mergeCell ref="S3:T4"/>
    <mergeCell ref="W3:W5"/>
    <mergeCell ref="X3:Z4"/>
    <mergeCell ref="B3:B5"/>
    <mergeCell ref="K3:Q3"/>
    <mergeCell ref="R3:R5"/>
    <mergeCell ref="C24:AB24"/>
    <mergeCell ref="C26:AB26"/>
    <mergeCell ref="AD3:AD5"/>
    <mergeCell ref="AF19:AG19"/>
    <mergeCell ref="C23:T23"/>
    <mergeCell ref="C25:AB25"/>
    <mergeCell ref="AB3:AB5"/>
    <mergeCell ref="C4:F4"/>
    <mergeCell ref="G4:G5"/>
    <mergeCell ref="H4:H5"/>
    <mergeCell ref="K4:N4"/>
    <mergeCell ref="O4:P4"/>
    <mergeCell ref="Q4:Q5"/>
    <mergeCell ref="U3:U5"/>
    <mergeCell ref="V3:V5"/>
    <mergeCell ref="AA3:AA5"/>
    <mergeCell ref="C3:H3"/>
    <mergeCell ref="I3:I5"/>
  </mergeCells>
  <phoneticPr fontId="4" type="noConversion"/>
  <conditionalFormatting sqref="AC6:AC20">
    <cfRule type="cellIs" dxfId="15" priority="1" operator="lessThan">
      <formula>0</formula>
    </cfRule>
  </conditionalFormatting>
  <conditionalFormatting sqref="AF19:AG19">
    <cfRule type="containsText" dxfId="14" priority="4" operator="containsText" text="不一致">
      <formula>NOT(ISERROR(SEARCH("不一致",AF19)))</formula>
    </cfRule>
    <cfRule type="containsText" dxfId="13" priority="5" operator="containsText" text="&quot;与工资发放表（左表）汇总数不一致&quot;">
      <formula>NOT(ISERROR(SEARCH("""与工资发放表（左表）汇总数不一致""",AF19)))</formula>
    </cfRule>
    <cfRule type="cellIs" dxfId="12" priority="6" operator="equal">
      <formula>"“与工资发放表（左表）汇总数不一致”"</formula>
    </cfRule>
  </conditionalFormatting>
  <conditionalFormatting sqref="AG18">
    <cfRule type="cellIs" dxfId="11" priority="10" operator="equal">
      <formula>$AA$21</formula>
    </cfRule>
  </conditionalFormatting>
  <hyperlinks>
    <hyperlink ref="AD6" r:id="rId1" xr:uid="{F9932F90-0029-4F02-97EA-97FDB5076037}"/>
    <hyperlink ref="AD7" r:id="rId2" xr:uid="{F42C3725-3B3F-4324-89A4-F9C5B83F01C5}"/>
    <hyperlink ref="AD8" r:id="rId3" xr:uid="{E9F85DCE-9378-47D1-9FB2-87CF90854EF0}"/>
    <hyperlink ref="AD9" r:id="rId4" xr:uid="{3CFEC205-9174-4B93-820C-A268FAEF07BD}"/>
    <hyperlink ref="AD10" r:id="rId5" xr:uid="{5CFC6F63-D98D-407F-9C3D-AE4D7AAD5580}"/>
    <hyperlink ref="AD11" r:id="rId6" xr:uid="{EFD53155-45CD-457B-9FD6-0FAFC17CDFAA}"/>
    <hyperlink ref="AD12" r:id="rId7" xr:uid="{550A3EA7-DE34-455F-A7AB-63CA7D90D3A7}"/>
    <hyperlink ref="AD13" r:id="rId8" xr:uid="{F425DC2A-E38E-45FE-88A4-AC84B996D800}"/>
    <hyperlink ref="AD14" r:id="rId9" xr:uid="{4E579D61-8B00-4FD8-88E4-D7D5E5DC8636}"/>
    <hyperlink ref="AD15" r:id="rId10" xr:uid="{06DE78FC-8ED2-4734-BE35-F1D98E66B7AE}"/>
  </hyperlinks>
  <printOptions horizontalCentered="1"/>
  <pageMargins left="0.23622047244094491" right="0.31496062992125984" top="0.94488188976377963" bottom="0.19685039370078741" header="0.19685039370078741" footer="0.27559055118110237"/>
  <pageSetup paperSize="9" scale="70" firstPageNumber="4294963191" orientation="landscape" r:id="rId1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356E-6699-4C65-B2D6-64F8274A71AF}">
  <sheetPr>
    <pageSetUpPr fitToPage="1"/>
  </sheetPr>
  <dimension ref="A1:BG43"/>
  <sheetViews>
    <sheetView topLeftCell="A2" zoomScale="139" zoomScaleNormal="85" workbookViewId="0">
      <selection activeCell="M17" sqref="M17"/>
    </sheetView>
  </sheetViews>
  <sheetFormatPr baseColWidth="10" defaultColWidth="10" defaultRowHeight="13"/>
  <cols>
    <col min="1" max="1" width="5" style="15" customWidth="1"/>
    <col min="2" max="2" width="12.33203125" style="15" customWidth="1"/>
    <col min="3" max="3" width="5.5" style="15" customWidth="1"/>
    <col min="4" max="4" width="6.83203125" style="15" customWidth="1"/>
    <col min="5" max="5" width="4.83203125" style="15" customWidth="1"/>
    <col min="6" max="6" width="6.83203125" style="24" customWidth="1"/>
    <col min="7" max="7" width="5" style="24" customWidth="1"/>
    <col min="8" max="8" width="7.33203125" style="24" customWidth="1"/>
    <col min="9" max="9" width="5.33203125" style="25" customWidth="1"/>
    <col min="10" max="10" width="7.83203125" style="24" customWidth="1"/>
    <col min="11" max="12" width="7.33203125" style="24" customWidth="1"/>
    <col min="13" max="14" width="6.33203125" style="24" customWidth="1"/>
    <col min="15" max="15" width="7" style="24" customWidth="1"/>
    <col min="16" max="16" width="6.33203125" style="24" customWidth="1"/>
    <col min="17" max="18" width="7.33203125" style="24" customWidth="1"/>
    <col min="19" max="19" width="7.33203125" style="15" customWidth="1"/>
    <col min="20" max="20" width="7.6640625" style="26" customWidth="1"/>
    <col min="21" max="21" width="7" style="15" customWidth="1"/>
    <col min="22" max="22" width="6.33203125" style="15" customWidth="1"/>
    <col min="23" max="23" width="8" style="15" customWidth="1"/>
    <col min="24" max="26" width="7" style="15" customWidth="1"/>
    <col min="27" max="27" width="8.33203125" style="15" customWidth="1"/>
    <col min="28" max="28" width="15.33203125" style="15" customWidth="1"/>
    <col min="29" max="29" width="9" style="15" customWidth="1"/>
    <col min="30" max="30" width="25" style="15" customWidth="1"/>
    <col min="31" max="31" width="9" style="15" customWidth="1"/>
    <col min="32" max="32" width="22.83203125" style="15" customWidth="1"/>
    <col min="33" max="33" width="17" style="15" customWidth="1"/>
    <col min="34" max="34" width="9.33203125" style="15" customWidth="1"/>
    <col min="35" max="40" width="7.83203125" style="15" customWidth="1"/>
    <col min="41" max="41" width="10" style="15"/>
    <col min="42" max="42" width="21.33203125" style="15" customWidth="1"/>
    <col min="43" max="266" width="10" style="15"/>
    <col min="267" max="267" width="7.6640625" style="15" customWidth="1"/>
    <col min="268" max="268" width="4.33203125" style="15" customWidth="1"/>
    <col min="269" max="270" width="6.83203125" style="15" customWidth="1"/>
    <col min="271" max="271" width="6.33203125" style="15" customWidth="1"/>
    <col min="272" max="272" width="9" style="15" customWidth="1"/>
    <col min="273" max="275" width="8.33203125" style="15" customWidth="1"/>
    <col min="276" max="276" width="7.6640625" style="15" customWidth="1"/>
    <col min="277" max="277" width="8.83203125" style="15" customWidth="1"/>
    <col min="278" max="278" width="10.33203125" style="15" customWidth="1"/>
    <col min="279" max="281" width="9.33203125" style="15" customWidth="1"/>
    <col min="282" max="282" width="15.6640625" style="15" customWidth="1"/>
    <col min="283" max="283" width="12.6640625" style="15" customWidth="1"/>
    <col min="284" max="522" width="10" style="15"/>
    <col min="523" max="523" width="7.6640625" style="15" customWidth="1"/>
    <col min="524" max="524" width="4.33203125" style="15" customWidth="1"/>
    <col min="525" max="526" width="6.83203125" style="15" customWidth="1"/>
    <col min="527" max="527" width="6.33203125" style="15" customWidth="1"/>
    <col min="528" max="528" width="9" style="15" customWidth="1"/>
    <col min="529" max="531" width="8.33203125" style="15" customWidth="1"/>
    <col min="532" max="532" width="7.6640625" style="15" customWidth="1"/>
    <col min="533" max="533" width="8.83203125" style="15" customWidth="1"/>
    <col min="534" max="534" width="10.33203125" style="15" customWidth="1"/>
    <col min="535" max="537" width="9.33203125" style="15" customWidth="1"/>
    <col min="538" max="538" width="15.6640625" style="15" customWidth="1"/>
    <col min="539" max="539" width="12.6640625" style="15" customWidth="1"/>
    <col min="540" max="778" width="10" style="15"/>
    <col min="779" max="779" width="7.6640625" style="15" customWidth="1"/>
    <col min="780" max="780" width="4.33203125" style="15" customWidth="1"/>
    <col min="781" max="782" width="6.83203125" style="15" customWidth="1"/>
    <col min="783" max="783" width="6.33203125" style="15" customWidth="1"/>
    <col min="784" max="784" width="9" style="15" customWidth="1"/>
    <col min="785" max="787" width="8.33203125" style="15" customWidth="1"/>
    <col min="788" max="788" width="7.6640625" style="15" customWidth="1"/>
    <col min="789" max="789" width="8.83203125" style="15" customWidth="1"/>
    <col min="790" max="790" width="10.33203125" style="15" customWidth="1"/>
    <col min="791" max="793" width="9.33203125" style="15" customWidth="1"/>
    <col min="794" max="794" width="15.6640625" style="15" customWidth="1"/>
    <col min="795" max="795" width="12.6640625" style="15" customWidth="1"/>
    <col min="796" max="1034" width="10" style="15"/>
    <col min="1035" max="1035" width="7.6640625" style="15" customWidth="1"/>
    <col min="1036" max="1036" width="4.33203125" style="15" customWidth="1"/>
    <col min="1037" max="1038" width="6.83203125" style="15" customWidth="1"/>
    <col min="1039" max="1039" width="6.33203125" style="15" customWidth="1"/>
    <col min="1040" max="1040" width="9" style="15" customWidth="1"/>
    <col min="1041" max="1043" width="8.33203125" style="15" customWidth="1"/>
    <col min="1044" max="1044" width="7.6640625" style="15" customWidth="1"/>
    <col min="1045" max="1045" width="8.83203125" style="15" customWidth="1"/>
    <col min="1046" max="1046" width="10.33203125" style="15" customWidth="1"/>
    <col min="1047" max="1049" width="9.33203125" style="15" customWidth="1"/>
    <col min="1050" max="1050" width="15.6640625" style="15" customWidth="1"/>
    <col min="1051" max="1051" width="12.6640625" style="15" customWidth="1"/>
    <col min="1052" max="1290" width="10" style="15"/>
    <col min="1291" max="1291" width="7.6640625" style="15" customWidth="1"/>
    <col min="1292" max="1292" width="4.33203125" style="15" customWidth="1"/>
    <col min="1293" max="1294" width="6.83203125" style="15" customWidth="1"/>
    <col min="1295" max="1295" width="6.33203125" style="15" customWidth="1"/>
    <col min="1296" max="1296" width="9" style="15" customWidth="1"/>
    <col min="1297" max="1299" width="8.33203125" style="15" customWidth="1"/>
    <col min="1300" max="1300" width="7.6640625" style="15" customWidth="1"/>
    <col min="1301" max="1301" width="8.83203125" style="15" customWidth="1"/>
    <col min="1302" max="1302" width="10.33203125" style="15" customWidth="1"/>
    <col min="1303" max="1305" width="9.33203125" style="15" customWidth="1"/>
    <col min="1306" max="1306" width="15.6640625" style="15" customWidth="1"/>
    <col min="1307" max="1307" width="12.6640625" style="15" customWidth="1"/>
    <col min="1308" max="1546" width="10" style="15"/>
    <col min="1547" max="1547" width="7.6640625" style="15" customWidth="1"/>
    <col min="1548" max="1548" width="4.33203125" style="15" customWidth="1"/>
    <col min="1549" max="1550" width="6.83203125" style="15" customWidth="1"/>
    <col min="1551" max="1551" width="6.33203125" style="15" customWidth="1"/>
    <col min="1552" max="1552" width="9" style="15" customWidth="1"/>
    <col min="1553" max="1555" width="8.33203125" style="15" customWidth="1"/>
    <col min="1556" max="1556" width="7.6640625" style="15" customWidth="1"/>
    <col min="1557" max="1557" width="8.83203125" style="15" customWidth="1"/>
    <col min="1558" max="1558" width="10.33203125" style="15" customWidth="1"/>
    <col min="1559" max="1561" width="9.33203125" style="15" customWidth="1"/>
    <col min="1562" max="1562" width="15.6640625" style="15" customWidth="1"/>
    <col min="1563" max="1563" width="12.6640625" style="15" customWidth="1"/>
    <col min="1564" max="1802" width="10" style="15"/>
    <col min="1803" max="1803" width="7.6640625" style="15" customWidth="1"/>
    <col min="1804" max="1804" width="4.33203125" style="15" customWidth="1"/>
    <col min="1805" max="1806" width="6.83203125" style="15" customWidth="1"/>
    <col min="1807" max="1807" width="6.33203125" style="15" customWidth="1"/>
    <col min="1808" max="1808" width="9" style="15" customWidth="1"/>
    <col min="1809" max="1811" width="8.33203125" style="15" customWidth="1"/>
    <col min="1812" max="1812" width="7.6640625" style="15" customWidth="1"/>
    <col min="1813" max="1813" width="8.83203125" style="15" customWidth="1"/>
    <col min="1814" max="1814" width="10.33203125" style="15" customWidth="1"/>
    <col min="1815" max="1817" width="9.33203125" style="15" customWidth="1"/>
    <col min="1818" max="1818" width="15.6640625" style="15" customWidth="1"/>
    <col min="1819" max="1819" width="12.6640625" style="15" customWidth="1"/>
    <col min="1820" max="2058" width="10" style="15"/>
    <col min="2059" max="2059" width="7.6640625" style="15" customWidth="1"/>
    <col min="2060" max="2060" width="4.33203125" style="15" customWidth="1"/>
    <col min="2061" max="2062" width="6.83203125" style="15" customWidth="1"/>
    <col min="2063" max="2063" width="6.33203125" style="15" customWidth="1"/>
    <col min="2064" max="2064" width="9" style="15" customWidth="1"/>
    <col min="2065" max="2067" width="8.33203125" style="15" customWidth="1"/>
    <col min="2068" max="2068" width="7.6640625" style="15" customWidth="1"/>
    <col min="2069" max="2069" width="8.83203125" style="15" customWidth="1"/>
    <col min="2070" max="2070" width="10.33203125" style="15" customWidth="1"/>
    <col min="2071" max="2073" width="9.33203125" style="15" customWidth="1"/>
    <col min="2074" max="2074" width="15.6640625" style="15" customWidth="1"/>
    <col min="2075" max="2075" width="12.6640625" style="15" customWidth="1"/>
    <col min="2076" max="2314" width="10" style="15"/>
    <col min="2315" max="2315" width="7.6640625" style="15" customWidth="1"/>
    <col min="2316" max="2316" width="4.33203125" style="15" customWidth="1"/>
    <col min="2317" max="2318" width="6.83203125" style="15" customWidth="1"/>
    <col min="2319" max="2319" width="6.33203125" style="15" customWidth="1"/>
    <col min="2320" max="2320" width="9" style="15" customWidth="1"/>
    <col min="2321" max="2323" width="8.33203125" style="15" customWidth="1"/>
    <col min="2324" max="2324" width="7.6640625" style="15" customWidth="1"/>
    <col min="2325" max="2325" width="8.83203125" style="15" customWidth="1"/>
    <col min="2326" max="2326" width="10.33203125" style="15" customWidth="1"/>
    <col min="2327" max="2329" width="9.33203125" style="15" customWidth="1"/>
    <col min="2330" max="2330" width="15.6640625" style="15" customWidth="1"/>
    <col min="2331" max="2331" width="12.6640625" style="15" customWidth="1"/>
    <col min="2332" max="2570" width="10" style="15"/>
    <col min="2571" max="2571" width="7.6640625" style="15" customWidth="1"/>
    <col min="2572" max="2572" width="4.33203125" style="15" customWidth="1"/>
    <col min="2573" max="2574" width="6.83203125" style="15" customWidth="1"/>
    <col min="2575" max="2575" width="6.33203125" style="15" customWidth="1"/>
    <col min="2576" max="2576" width="9" style="15" customWidth="1"/>
    <col min="2577" max="2579" width="8.33203125" style="15" customWidth="1"/>
    <col min="2580" max="2580" width="7.6640625" style="15" customWidth="1"/>
    <col min="2581" max="2581" width="8.83203125" style="15" customWidth="1"/>
    <col min="2582" max="2582" width="10.33203125" style="15" customWidth="1"/>
    <col min="2583" max="2585" width="9.33203125" style="15" customWidth="1"/>
    <col min="2586" max="2586" width="15.6640625" style="15" customWidth="1"/>
    <col min="2587" max="2587" width="12.6640625" style="15" customWidth="1"/>
    <col min="2588" max="2826" width="10" style="15"/>
    <col min="2827" max="2827" width="7.6640625" style="15" customWidth="1"/>
    <col min="2828" max="2828" width="4.33203125" style="15" customWidth="1"/>
    <col min="2829" max="2830" width="6.83203125" style="15" customWidth="1"/>
    <col min="2831" max="2831" width="6.33203125" style="15" customWidth="1"/>
    <col min="2832" max="2832" width="9" style="15" customWidth="1"/>
    <col min="2833" max="2835" width="8.33203125" style="15" customWidth="1"/>
    <col min="2836" max="2836" width="7.6640625" style="15" customWidth="1"/>
    <col min="2837" max="2837" width="8.83203125" style="15" customWidth="1"/>
    <col min="2838" max="2838" width="10.33203125" style="15" customWidth="1"/>
    <col min="2839" max="2841" width="9.33203125" style="15" customWidth="1"/>
    <col min="2842" max="2842" width="15.6640625" style="15" customWidth="1"/>
    <col min="2843" max="2843" width="12.6640625" style="15" customWidth="1"/>
    <col min="2844" max="3082" width="10" style="15"/>
    <col min="3083" max="3083" width="7.6640625" style="15" customWidth="1"/>
    <col min="3084" max="3084" width="4.33203125" style="15" customWidth="1"/>
    <col min="3085" max="3086" width="6.83203125" style="15" customWidth="1"/>
    <col min="3087" max="3087" width="6.33203125" style="15" customWidth="1"/>
    <col min="3088" max="3088" width="9" style="15" customWidth="1"/>
    <col min="3089" max="3091" width="8.33203125" style="15" customWidth="1"/>
    <col min="3092" max="3092" width="7.6640625" style="15" customWidth="1"/>
    <col min="3093" max="3093" width="8.83203125" style="15" customWidth="1"/>
    <col min="3094" max="3094" width="10.33203125" style="15" customWidth="1"/>
    <col min="3095" max="3097" width="9.33203125" style="15" customWidth="1"/>
    <col min="3098" max="3098" width="15.6640625" style="15" customWidth="1"/>
    <col min="3099" max="3099" width="12.6640625" style="15" customWidth="1"/>
    <col min="3100" max="3338" width="10" style="15"/>
    <col min="3339" max="3339" width="7.6640625" style="15" customWidth="1"/>
    <col min="3340" max="3340" width="4.33203125" style="15" customWidth="1"/>
    <col min="3341" max="3342" width="6.83203125" style="15" customWidth="1"/>
    <col min="3343" max="3343" width="6.33203125" style="15" customWidth="1"/>
    <col min="3344" max="3344" width="9" style="15" customWidth="1"/>
    <col min="3345" max="3347" width="8.33203125" style="15" customWidth="1"/>
    <col min="3348" max="3348" width="7.6640625" style="15" customWidth="1"/>
    <col min="3349" max="3349" width="8.83203125" style="15" customWidth="1"/>
    <col min="3350" max="3350" width="10.33203125" style="15" customWidth="1"/>
    <col min="3351" max="3353" width="9.33203125" style="15" customWidth="1"/>
    <col min="3354" max="3354" width="15.6640625" style="15" customWidth="1"/>
    <col min="3355" max="3355" width="12.6640625" style="15" customWidth="1"/>
    <col min="3356" max="3594" width="10" style="15"/>
    <col min="3595" max="3595" width="7.6640625" style="15" customWidth="1"/>
    <col min="3596" max="3596" width="4.33203125" style="15" customWidth="1"/>
    <col min="3597" max="3598" width="6.83203125" style="15" customWidth="1"/>
    <col min="3599" max="3599" width="6.33203125" style="15" customWidth="1"/>
    <col min="3600" max="3600" width="9" style="15" customWidth="1"/>
    <col min="3601" max="3603" width="8.33203125" style="15" customWidth="1"/>
    <col min="3604" max="3604" width="7.6640625" style="15" customWidth="1"/>
    <col min="3605" max="3605" width="8.83203125" style="15" customWidth="1"/>
    <col min="3606" max="3606" width="10.33203125" style="15" customWidth="1"/>
    <col min="3607" max="3609" width="9.33203125" style="15" customWidth="1"/>
    <col min="3610" max="3610" width="15.6640625" style="15" customWidth="1"/>
    <col min="3611" max="3611" width="12.6640625" style="15" customWidth="1"/>
    <col min="3612" max="3850" width="10" style="15"/>
    <col min="3851" max="3851" width="7.6640625" style="15" customWidth="1"/>
    <col min="3852" max="3852" width="4.33203125" style="15" customWidth="1"/>
    <col min="3853" max="3854" width="6.83203125" style="15" customWidth="1"/>
    <col min="3855" max="3855" width="6.33203125" style="15" customWidth="1"/>
    <col min="3856" max="3856" width="9" style="15" customWidth="1"/>
    <col min="3857" max="3859" width="8.33203125" style="15" customWidth="1"/>
    <col min="3860" max="3860" width="7.6640625" style="15" customWidth="1"/>
    <col min="3861" max="3861" width="8.83203125" style="15" customWidth="1"/>
    <col min="3862" max="3862" width="10.33203125" style="15" customWidth="1"/>
    <col min="3863" max="3865" width="9.33203125" style="15" customWidth="1"/>
    <col min="3866" max="3866" width="15.6640625" style="15" customWidth="1"/>
    <col min="3867" max="3867" width="12.6640625" style="15" customWidth="1"/>
    <col min="3868" max="4106" width="10" style="15"/>
    <col min="4107" max="4107" width="7.6640625" style="15" customWidth="1"/>
    <col min="4108" max="4108" width="4.33203125" style="15" customWidth="1"/>
    <col min="4109" max="4110" width="6.83203125" style="15" customWidth="1"/>
    <col min="4111" max="4111" width="6.33203125" style="15" customWidth="1"/>
    <col min="4112" max="4112" width="9" style="15" customWidth="1"/>
    <col min="4113" max="4115" width="8.33203125" style="15" customWidth="1"/>
    <col min="4116" max="4116" width="7.6640625" style="15" customWidth="1"/>
    <col min="4117" max="4117" width="8.83203125" style="15" customWidth="1"/>
    <col min="4118" max="4118" width="10.33203125" style="15" customWidth="1"/>
    <col min="4119" max="4121" width="9.33203125" style="15" customWidth="1"/>
    <col min="4122" max="4122" width="15.6640625" style="15" customWidth="1"/>
    <col min="4123" max="4123" width="12.6640625" style="15" customWidth="1"/>
    <col min="4124" max="4362" width="10" style="15"/>
    <col min="4363" max="4363" width="7.6640625" style="15" customWidth="1"/>
    <col min="4364" max="4364" width="4.33203125" style="15" customWidth="1"/>
    <col min="4365" max="4366" width="6.83203125" style="15" customWidth="1"/>
    <col min="4367" max="4367" width="6.33203125" style="15" customWidth="1"/>
    <col min="4368" max="4368" width="9" style="15" customWidth="1"/>
    <col min="4369" max="4371" width="8.33203125" style="15" customWidth="1"/>
    <col min="4372" max="4372" width="7.6640625" style="15" customWidth="1"/>
    <col min="4373" max="4373" width="8.83203125" style="15" customWidth="1"/>
    <col min="4374" max="4374" width="10.33203125" style="15" customWidth="1"/>
    <col min="4375" max="4377" width="9.33203125" style="15" customWidth="1"/>
    <col min="4378" max="4378" width="15.6640625" style="15" customWidth="1"/>
    <col min="4379" max="4379" width="12.6640625" style="15" customWidth="1"/>
    <col min="4380" max="4618" width="10" style="15"/>
    <col min="4619" max="4619" width="7.6640625" style="15" customWidth="1"/>
    <col min="4620" max="4620" width="4.33203125" style="15" customWidth="1"/>
    <col min="4621" max="4622" width="6.83203125" style="15" customWidth="1"/>
    <col min="4623" max="4623" width="6.33203125" style="15" customWidth="1"/>
    <col min="4624" max="4624" width="9" style="15" customWidth="1"/>
    <col min="4625" max="4627" width="8.33203125" style="15" customWidth="1"/>
    <col min="4628" max="4628" width="7.6640625" style="15" customWidth="1"/>
    <col min="4629" max="4629" width="8.83203125" style="15" customWidth="1"/>
    <col min="4630" max="4630" width="10.33203125" style="15" customWidth="1"/>
    <col min="4631" max="4633" width="9.33203125" style="15" customWidth="1"/>
    <col min="4634" max="4634" width="15.6640625" style="15" customWidth="1"/>
    <col min="4635" max="4635" width="12.6640625" style="15" customWidth="1"/>
    <col min="4636" max="4874" width="10" style="15"/>
    <col min="4875" max="4875" width="7.6640625" style="15" customWidth="1"/>
    <col min="4876" max="4876" width="4.33203125" style="15" customWidth="1"/>
    <col min="4877" max="4878" width="6.83203125" style="15" customWidth="1"/>
    <col min="4879" max="4879" width="6.33203125" style="15" customWidth="1"/>
    <col min="4880" max="4880" width="9" style="15" customWidth="1"/>
    <col min="4881" max="4883" width="8.33203125" style="15" customWidth="1"/>
    <col min="4884" max="4884" width="7.6640625" style="15" customWidth="1"/>
    <col min="4885" max="4885" width="8.83203125" style="15" customWidth="1"/>
    <col min="4886" max="4886" width="10.33203125" style="15" customWidth="1"/>
    <col min="4887" max="4889" width="9.33203125" style="15" customWidth="1"/>
    <col min="4890" max="4890" width="15.6640625" style="15" customWidth="1"/>
    <col min="4891" max="4891" width="12.6640625" style="15" customWidth="1"/>
    <col min="4892" max="5130" width="10" style="15"/>
    <col min="5131" max="5131" width="7.6640625" style="15" customWidth="1"/>
    <col min="5132" max="5132" width="4.33203125" style="15" customWidth="1"/>
    <col min="5133" max="5134" width="6.83203125" style="15" customWidth="1"/>
    <col min="5135" max="5135" width="6.33203125" style="15" customWidth="1"/>
    <col min="5136" max="5136" width="9" style="15" customWidth="1"/>
    <col min="5137" max="5139" width="8.33203125" style="15" customWidth="1"/>
    <col min="5140" max="5140" width="7.6640625" style="15" customWidth="1"/>
    <col min="5141" max="5141" width="8.83203125" style="15" customWidth="1"/>
    <col min="5142" max="5142" width="10.33203125" style="15" customWidth="1"/>
    <col min="5143" max="5145" width="9.33203125" style="15" customWidth="1"/>
    <col min="5146" max="5146" width="15.6640625" style="15" customWidth="1"/>
    <col min="5147" max="5147" width="12.6640625" style="15" customWidth="1"/>
    <col min="5148" max="5386" width="10" style="15"/>
    <col min="5387" max="5387" width="7.6640625" style="15" customWidth="1"/>
    <col min="5388" max="5388" width="4.33203125" style="15" customWidth="1"/>
    <col min="5389" max="5390" width="6.83203125" style="15" customWidth="1"/>
    <col min="5391" max="5391" width="6.33203125" style="15" customWidth="1"/>
    <col min="5392" max="5392" width="9" style="15" customWidth="1"/>
    <col min="5393" max="5395" width="8.33203125" style="15" customWidth="1"/>
    <col min="5396" max="5396" width="7.6640625" style="15" customWidth="1"/>
    <col min="5397" max="5397" width="8.83203125" style="15" customWidth="1"/>
    <col min="5398" max="5398" width="10.33203125" style="15" customWidth="1"/>
    <col min="5399" max="5401" width="9.33203125" style="15" customWidth="1"/>
    <col min="5402" max="5402" width="15.6640625" style="15" customWidth="1"/>
    <col min="5403" max="5403" width="12.6640625" style="15" customWidth="1"/>
    <col min="5404" max="5642" width="10" style="15"/>
    <col min="5643" max="5643" width="7.6640625" style="15" customWidth="1"/>
    <col min="5644" max="5644" width="4.33203125" style="15" customWidth="1"/>
    <col min="5645" max="5646" width="6.83203125" style="15" customWidth="1"/>
    <col min="5647" max="5647" width="6.33203125" style="15" customWidth="1"/>
    <col min="5648" max="5648" width="9" style="15" customWidth="1"/>
    <col min="5649" max="5651" width="8.33203125" style="15" customWidth="1"/>
    <col min="5652" max="5652" width="7.6640625" style="15" customWidth="1"/>
    <col min="5653" max="5653" width="8.83203125" style="15" customWidth="1"/>
    <col min="5654" max="5654" width="10.33203125" style="15" customWidth="1"/>
    <col min="5655" max="5657" width="9.33203125" style="15" customWidth="1"/>
    <col min="5658" max="5658" width="15.6640625" style="15" customWidth="1"/>
    <col min="5659" max="5659" width="12.6640625" style="15" customWidth="1"/>
    <col min="5660" max="5898" width="10" style="15"/>
    <col min="5899" max="5899" width="7.6640625" style="15" customWidth="1"/>
    <col min="5900" max="5900" width="4.33203125" style="15" customWidth="1"/>
    <col min="5901" max="5902" width="6.83203125" style="15" customWidth="1"/>
    <col min="5903" max="5903" width="6.33203125" style="15" customWidth="1"/>
    <col min="5904" max="5904" width="9" style="15" customWidth="1"/>
    <col min="5905" max="5907" width="8.33203125" style="15" customWidth="1"/>
    <col min="5908" max="5908" width="7.6640625" style="15" customWidth="1"/>
    <col min="5909" max="5909" width="8.83203125" style="15" customWidth="1"/>
    <col min="5910" max="5910" width="10.33203125" style="15" customWidth="1"/>
    <col min="5911" max="5913" width="9.33203125" style="15" customWidth="1"/>
    <col min="5914" max="5914" width="15.6640625" style="15" customWidth="1"/>
    <col min="5915" max="5915" width="12.6640625" style="15" customWidth="1"/>
    <col min="5916" max="6154" width="10" style="15"/>
    <col min="6155" max="6155" width="7.6640625" style="15" customWidth="1"/>
    <col min="6156" max="6156" width="4.33203125" style="15" customWidth="1"/>
    <col min="6157" max="6158" width="6.83203125" style="15" customWidth="1"/>
    <col min="6159" max="6159" width="6.33203125" style="15" customWidth="1"/>
    <col min="6160" max="6160" width="9" style="15" customWidth="1"/>
    <col min="6161" max="6163" width="8.33203125" style="15" customWidth="1"/>
    <col min="6164" max="6164" width="7.6640625" style="15" customWidth="1"/>
    <col min="6165" max="6165" width="8.83203125" style="15" customWidth="1"/>
    <col min="6166" max="6166" width="10.33203125" style="15" customWidth="1"/>
    <col min="6167" max="6169" width="9.33203125" style="15" customWidth="1"/>
    <col min="6170" max="6170" width="15.6640625" style="15" customWidth="1"/>
    <col min="6171" max="6171" width="12.6640625" style="15" customWidth="1"/>
    <col min="6172" max="6410" width="10" style="15"/>
    <col min="6411" max="6411" width="7.6640625" style="15" customWidth="1"/>
    <col min="6412" max="6412" width="4.33203125" style="15" customWidth="1"/>
    <col min="6413" max="6414" width="6.83203125" style="15" customWidth="1"/>
    <col min="6415" max="6415" width="6.33203125" style="15" customWidth="1"/>
    <col min="6416" max="6416" width="9" style="15" customWidth="1"/>
    <col min="6417" max="6419" width="8.33203125" style="15" customWidth="1"/>
    <col min="6420" max="6420" width="7.6640625" style="15" customWidth="1"/>
    <col min="6421" max="6421" width="8.83203125" style="15" customWidth="1"/>
    <col min="6422" max="6422" width="10.33203125" style="15" customWidth="1"/>
    <col min="6423" max="6425" width="9.33203125" style="15" customWidth="1"/>
    <col min="6426" max="6426" width="15.6640625" style="15" customWidth="1"/>
    <col min="6427" max="6427" width="12.6640625" style="15" customWidth="1"/>
    <col min="6428" max="6666" width="10" style="15"/>
    <col min="6667" max="6667" width="7.6640625" style="15" customWidth="1"/>
    <col min="6668" max="6668" width="4.33203125" style="15" customWidth="1"/>
    <col min="6669" max="6670" width="6.83203125" style="15" customWidth="1"/>
    <col min="6671" max="6671" width="6.33203125" style="15" customWidth="1"/>
    <col min="6672" max="6672" width="9" style="15" customWidth="1"/>
    <col min="6673" max="6675" width="8.33203125" style="15" customWidth="1"/>
    <col min="6676" max="6676" width="7.6640625" style="15" customWidth="1"/>
    <col min="6677" max="6677" width="8.83203125" style="15" customWidth="1"/>
    <col min="6678" max="6678" width="10.33203125" style="15" customWidth="1"/>
    <col min="6679" max="6681" width="9.33203125" style="15" customWidth="1"/>
    <col min="6682" max="6682" width="15.6640625" style="15" customWidth="1"/>
    <col min="6683" max="6683" width="12.6640625" style="15" customWidth="1"/>
    <col min="6684" max="6922" width="10" style="15"/>
    <col min="6923" max="6923" width="7.6640625" style="15" customWidth="1"/>
    <col min="6924" max="6924" width="4.33203125" style="15" customWidth="1"/>
    <col min="6925" max="6926" width="6.83203125" style="15" customWidth="1"/>
    <col min="6927" max="6927" width="6.33203125" style="15" customWidth="1"/>
    <col min="6928" max="6928" width="9" style="15" customWidth="1"/>
    <col min="6929" max="6931" width="8.33203125" style="15" customWidth="1"/>
    <col min="6932" max="6932" width="7.6640625" style="15" customWidth="1"/>
    <col min="6933" max="6933" width="8.83203125" style="15" customWidth="1"/>
    <col min="6934" max="6934" width="10.33203125" style="15" customWidth="1"/>
    <col min="6935" max="6937" width="9.33203125" style="15" customWidth="1"/>
    <col min="6938" max="6938" width="15.6640625" style="15" customWidth="1"/>
    <col min="6939" max="6939" width="12.6640625" style="15" customWidth="1"/>
    <col min="6940" max="7178" width="10" style="15"/>
    <col min="7179" max="7179" width="7.6640625" style="15" customWidth="1"/>
    <col min="7180" max="7180" width="4.33203125" style="15" customWidth="1"/>
    <col min="7181" max="7182" width="6.83203125" style="15" customWidth="1"/>
    <col min="7183" max="7183" width="6.33203125" style="15" customWidth="1"/>
    <col min="7184" max="7184" width="9" style="15" customWidth="1"/>
    <col min="7185" max="7187" width="8.33203125" style="15" customWidth="1"/>
    <col min="7188" max="7188" width="7.6640625" style="15" customWidth="1"/>
    <col min="7189" max="7189" width="8.83203125" style="15" customWidth="1"/>
    <col min="7190" max="7190" width="10.33203125" style="15" customWidth="1"/>
    <col min="7191" max="7193" width="9.33203125" style="15" customWidth="1"/>
    <col min="7194" max="7194" width="15.6640625" style="15" customWidth="1"/>
    <col min="7195" max="7195" width="12.6640625" style="15" customWidth="1"/>
    <col min="7196" max="7434" width="10" style="15"/>
    <col min="7435" max="7435" width="7.6640625" style="15" customWidth="1"/>
    <col min="7436" max="7436" width="4.33203125" style="15" customWidth="1"/>
    <col min="7437" max="7438" width="6.83203125" style="15" customWidth="1"/>
    <col min="7439" max="7439" width="6.33203125" style="15" customWidth="1"/>
    <col min="7440" max="7440" width="9" style="15" customWidth="1"/>
    <col min="7441" max="7443" width="8.33203125" style="15" customWidth="1"/>
    <col min="7444" max="7444" width="7.6640625" style="15" customWidth="1"/>
    <col min="7445" max="7445" width="8.83203125" style="15" customWidth="1"/>
    <col min="7446" max="7446" width="10.33203125" style="15" customWidth="1"/>
    <col min="7447" max="7449" width="9.33203125" style="15" customWidth="1"/>
    <col min="7450" max="7450" width="15.6640625" style="15" customWidth="1"/>
    <col min="7451" max="7451" width="12.6640625" style="15" customWidth="1"/>
    <col min="7452" max="7690" width="10" style="15"/>
    <col min="7691" max="7691" width="7.6640625" style="15" customWidth="1"/>
    <col min="7692" max="7692" width="4.33203125" style="15" customWidth="1"/>
    <col min="7693" max="7694" width="6.83203125" style="15" customWidth="1"/>
    <col min="7695" max="7695" width="6.33203125" style="15" customWidth="1"/>
    <col min="7696" max="7696" width="9" style="15" customWidth="1"/>
    <col min="7697" max="7699" width="8.33203125" style="15" customWidth="1"/>
    <col min="7700" max="7700" width="7.6640625" style="15" customWidth="1"/>
    <col min="7701" max="7701" width="8.83203125" style="15" customWidth="1"/>
    <col min="7702" max="7702" width="10.33203125" style="15" customWidth="1"/>
    <col min="7703" max="7705" width="9.33203125" style="15" customWidth="1"/>
    <col min="7706" max="7706" width="15.6640625" style="15" customWidth="1"/>
    <col min="7707" max="7707" width="12.6640625" style="15" customWidth="1"/>
    <col min="7708" max="7946" width="10" style="15"/>
    <col min="7947" max="7947" width="7.6640625" style="15" customWidth="1"/>
    <col min="7948" max="7948" width="4.33203125" style="15" customWidth="1"/>
    <col min="7949" max="7950" width="6.83203125" style="15" customWidth="1"/>
    <col min="7951" max="7951" width="6.33203125" style="15" customWidth="1"/>
    <col min="7952" max="7952" width="9" style="15" customWidth="1"/>
    <col min="7953" max="7955" width="8.33203125" style="15" customWidth="1"/>
    <col min="7956" max="7956" width="7.6640625" style="15" customWidth="1"/>
    <col min="7957" max="7957" width="8.83203125" style="15" customWidth="1"/>
    <col min="7958" max="7958" width="10.33203125" style="15" customWidth="1"/>
    <col min="7959" max="7961" width="9.33203125" style="15" customWidth="1"/>
    <col min="7962" max="7962" width="15.6640625" style="15" customWidth="1"/>
    <col min="7963" max="7963" width="12.6640625" style="15" customWidth="1"/>
    <col min="7964" max="8202" width="10" style="15"/>
    <col min="8203" max="8203" width="7.6640625" style="15" customWidth="1"/>
    <col min="8204" max="8204" width="4.33203125" style="15" customWidth="1"/>
    <col min="8205" max="8206" width="6.83203125" style="15" customWidth="1"/>
    <col min="8207" max="8207" width="6.33203125" style="15" customWidth="1"/>
    <col min="8208" max="8208" width="9" style="15" customWidth="1"/>
    <col min="8209" max="8211" width="8.33203125" style="15" customWidth="1"/>
    <col min="8212" max="8212" width="7.6640625" style="15" customWidth="1"/>
    <col min="8213" max="8213" width="8.83203125" style="15" customWidth="1"/>
    <col min="8214" max="8214" width="10.33203125" style="15" customWidth="1"/>
    <col min="8215" max="8217" width="9.33203125" style="15" customWidth="1"/>
    <col min="8218" max="8218" width="15.6640625" style="15" customWidth="1"/>
    <col min="8219" max="8219" width="12.6640625" style="15" customWidth="1"/>
    <col min="8220" max="8458" width="10" style="15"/>
    <col min="8459" max="8459" width="7.6640625" style="15" customWidth="1"/>
    <col min="8460" max="8460" width="4.33203125" style="15" customWidth="1"/>
    <col min="8461" max="8462" width="6.83203125" style="15" customWidth="1"/>
    <col min="8463" max="8463" width="6.33203125" style="15" customWidth="1"/>
    <col min="8464" max="8464" width="9" style="15" customWidth="1"/>
    <col min="8465" max="8467" width="8.33203125" style="15" customWidth="1"/>
    <col min="8468" max="8468" width="7.6640625" style="15" customWidth="1"/>
    <col min="8469" max="8469" width="8.83203125" style="15" customWidth="1"/>
    <col min="8470" max="8470" width="10.33203125" style="15" customWidth="1"/>
    <col min="8471" max="8473" width="9.33203125" style="15" customWidth="1"/>
    <col min="8474" max="8474" width="15.6640625" style="15" customWidth="1"/>
    <col min="8475" max="8475" width="12.6640625" style="15" customWidth="1"/>
    <col min="8476" max="8714" width="10" style="15"/>
    <col min="8715" max="8715" width="7.6640625" style="15" customWidth="1"/>
    <col min="8716" max="8716" width="4.33203125" style="15" customWidth="1"/>
    <col min="8717" max="8718" width="6.83203125" style="15" customWidth="1"/>
    <col min="8719" max="8719" width="6.33203125" style="15" customWidth="1"/>
    <col min="8720" max="8720" width="9" style="15" customWidth="1"/>
    <col min="8721" max="8723" width="8.33203125" style="15" customWidth="1"/>
    <col min="8724" max="8724" width="7.6640625" style="15" customWidth="1"/>
    <col min="8725" max="8725" width="8.83203125" style="15" customWidth="1"/>
    <col min="8726" max="8726" width="10.33203125" style="15" customWidth="1"/>
    <col min="8727" max="8729" width="9.33203125" style="15" customWidth="1"/>
    <col min="8730" max="8730" width="15.6640625" style="15" customWidth="1"/>
    <col min="8731" max="8731" width="12.6640625" style="15" customWidth="1"/>
    <col min="8732" max="8970" width="10" style="15"/>
    <col min="8971" max="8971" width="7.6640625" style="15" customWidth="1"/>
    <col min="8972" max="8972" width="4.33203125" style="15" customWidth="1"/>
    <col min="8973" max="8974" width="6.83203125" style="15" customWidth="1"/>
    <col min="8975" max="8975" width="6.33203125" style="15" customWidth="1"/>
    <col min="8976" max="8976" width="9" style="15" customWidth="1"/>
    <col min="8977" max="8979" width="8.33203125" style="15" customWidth="1"/>
    <col min="8980" max="8980" width="7.6640625" style="15" customWidth="1"/>
    <col min="8981" max="8981" width="8.83203125" style="15" customWidth="1"/>
    <col min="8982" max="8982" width="10.33203125" style="15" customWidth="1"/>
    <col min="8983" max="8985" width="9.33203125" style="15" customWidth="1"/>
    <col min="8986" max="8986" width="15.6640625" style="15" customWidth="1"/>
    <col min="8987" max="8987" width="12.6640625" style="15" customWidth="1"/>
    <col min="8988" max="9226" width="10" style="15"/>
    <col min="9227" max="9227" width="7.6640625" style="15" customWidth="1"/>
    <col min="9228" max="9228" width="4.33203125" style="15" customWidth="1"/>
    <col min="9229" max="9230" width="6.83203125" style="15" customWidth="1"/>
    <col min="9231" max="9231" width="6.33203125" style="15" customWidth="1"/>
    <col min="9232" max="9232" width="9" style="15" customWidth="1"/>
    <col min="9233" max="9235" width="8.33203125" style="15" customWidth="1"/>
    <col min="9236" max="9236" width="7.6640625" style="15" customWidth="1"/>
    <col min="9237" max="9237" width="8.83203125" style="15" customWidth="1"/>
    <col min="9238" max="9238" width="10.33203125" style="15" customWidth="1"/>
    <col min="9239" max="9241" width="9.33203125" style="15" customWidth="1"/>
    <col min="9242" max="9242" width="15.6640625" style="15" customWidth="1"/>
    <col min="9243" max="9243" width="12.6640625" style="15" customWidth="1"/>
    <col min="9244" max="9482" width="10" style="15"/>
    <col min="9483" max="9483" width="7.6640625" style="15" customWidth="1"/>
    <col min="9484" max="9484" width="4.33203125" style="15" customWidth="1"/>
    <col min="9485" max="9486" width="6.83203125" style="15" customWidth="1"/>
    <col min="9487" max="9487" width="6.33203125" style="15" customWidth="1"/>
    <col min="9488" max="9488" width="9" style="15" customWidth="1"/>
    <col min="9489" max="9491" width="8.33203125" style="15" customWidth="1"/>
    <col min="9492" max="9492" width="7.6640625" style="15" customWidth="1"/>
    <col min="9493" max="9493" width="8.83203125" style="15" customWidth="1"/>
    <col min="9494" max="9494" width="10.33203125" style="15" customWidth="1"/>
    <col min="9495" max="9497" width="9.33203125" style="15" customWidth="1"/>
    <col min="9498" max="9498" width="15.6640625" style="15" customWidth="1"/>
    <col min="9499" max="9499" width="12.6640625" style="15" customWidth="1"/>
    <col min="9500" max="9738" width="10" style="15"/>
    <col min="9739" max="9739" width="7.6640625" style="15" customWidth="1"/>
    <col min="9740" max="9740" width="4.33203125" style="15" customWidth="1"/>
    <col min="9741" max="9742" width="6.83203125" style="15" customWidth="1"/>
    <col min="9743" max="9743" width="6.33203125" style="15" customWidth="1"/>
    <col min="9744" max="9744" width="9" style="15" customWidth="1"/>
    <col min="9745" max="9747" width="8.33203125" style="15" customWidth="1"/>
    <col min="9748" max="9748" width="7.6640625" style="15" customWidth="1"/>
    <col min="9749" max="9749" width="8.83203125" style="15" customWidth="1"/>
    <col min="9750" max="9750" width="10.33203125" style="15" customWidth="1"/>
    <col min="9751" max="9753" width="9.33203125" style="15" customWidth="1"/>
    <col min="9754" max="9754" width="15.6640625" style="15" customWidth="1"/>
    <col min="9755" max="9755" width="12.6640625" style="15" customWidth="1"/>
    <col min="9756" max="9994" width="10" style="15"/>
    <col min="9995" max="9995" width="7.6640625" style="15" customWidth="1"/>
    <col min="9996" max="9996" width="4.33203125" style="15" customWidth="1"/>
    <col min="9997" max="9998" width="6.83203125" style="15" customWidth="1"/>
    <col min="9999" max="9999" width="6.33203125" style="15" customWidth="1"/>
    <col min="10000" max="10000" width="9" style="15" customWidth="1"/>
    <col min="10001" max="10003" width="8.33203125" style="15" customWidth="1"/>
    <col min="10004" max="10004" width="7.6640625" style="15" customWidth="1"/>
    <col min="10005" max="10005" width="8.83203125" style="15" customWidth="1"/>
    <col min="10006" max="10006" width="10.33203125" style="15" customWidth="1"/>
    <col min="10007" max="10009" width="9.33203125" style="15" customWidth="1"/>
    <col min="10010" max="10010" width="15.6640625" style="15" customWidth="1"/>
    <col min="10011" max="10011" width="12.6640625" style="15" customWidth="1"/>
    <col min="10012" max="10250" width="10" style="15"/>
    <col min="10251" max="10251" width="7.6640625" style="15" customWidth="1"/>
    <col min="10252" max="10252" width="4.33203125" style="15" customWidth="1"/>
    <col min="10253" max="10254" width="6.83203125" style="15" customWidth="1"/>
    <col min="10255" max="10255" width="6.33203125" style="15" customWidth="1"/>
    <col min="10256" max="10256" width="9" style="15" customWidth="1"/>
    <col min="10257" max="10259" width="8.33203125" style="15" customWidth="1"/>
    <col min="10260" max="10260" width="7.6640625" style="15" customWidth="1"/>
    <col min="10261" max="10261" width="8.83203125" style="15" customWidth="1"/>
    <col min="10262" max="10262" width="10.33203125" style="15" customWidth="1"/>
    <col min="10263" max="10265" width="9.33203125" style="15" customWidth="1"/>
    <col min="10266" max="10266" width="15.6640625" style="15" customWidth="1"/>
    <col min="10267" max="10267" width="12.6640625" style="15" customWidth="1"/>
    <col min="10268" max="10506" width="10" style="15"/>
    <col min="10507" max="10507" width="7.6640625" style="15" customWidth="1"/>
    <col min="10508" max="10508" width="4.33203125" style="15" customWidth="1"/>
    <col min="10509" max="10510" width="6.83203125" style="15" customWidth="1"/>
    <col min="10511" max="10511" width="6.33203125" style="15" customWidth="1"/>
    <col min="10512" max="10512" width="9" style="15" customWidth="1"/>
    <col min="10513" max="10515" width="8.33203125" style="15" customWidth="1"/>
    <col min="10516" max="10516" width="7.6640625" style="15" customWidth="1"/>
    <col min="10517" max="10517" width="8.83203125" style="15" customWidth="1"/>
    <col min="10518" max="10518" width="10.33203125" style="15" customWidth="1"/>
    <col min="10519" max="10521" width="9.33203125" style="15" customWidth="1"/>
    <col min="10522" max="10522" width="15.6640625" style="15" customWidth="1"/>
    <col min="10523" max="10523" width="12.6640625" style="15" customWidth="1"/>
    <col min="10524" max="10762" width="10" style="15"/>
    <col min="10763" max="10763" width="7.6640625" style="15" customWidth="1"/>
    <col min="10764" max="10764" width="4.33203125" style="15" customWidth="1"/>
    <col min="10765" max="10766" width="6.83203125" style="15" customWidth="1"/>
    <col min="10767" max="10767" width="6.33203125" style="15" customWidth="1"/>
    <col min="10768" max="10768" width="9" style="15" customWidth="1"/>
    <col min="10769" max="10771" width="8.33203125" style="15" customWidth="1"/>
    <col min="10772" max="10772" width="7.6640625" style="15" customWidth="1"/>
    <col min="10773" max="10773" width="8.83203125" style="15" customWidth="1"/>
    <col min="10774" max="10774" width="10.33203125" style="15" customWidth="1"/>
    <col min="10775" max="10777" width="9.33203125" style="15" customWidth="1"/>
    <col min="10778" max="10778" width="15.6640625" style="15" customWidth="1"/>
    <col min="10779" max="10779" width="12.6640625" style="15" customWidth="1"/>
    <col min="10780" max="11018" width="10" style="15"/>
    <col min="11019" max="11019" width="7.6640625" style="15" customWidth="1"/>
    <col min="11020" max="11020" width="4.33203125" style="15" customWidth="1"/>
    <col min="11021" max="11022" width="6.83203125" style="15" customWidth="1"/>
    <col min="11023" max="11023" width="6.33203125" style="15" customWidth="1"/>
    <col min="11024" max="11024" width="9" style="15" customWidth="1"/>
    <col min="11025" max="11027" width="8.33203125" style="15" customWidth="1"/>
    <col min="11028" max="11028" width="7.6640625" style="15" customWidth="1"/>
    <col min="11029" max="11029" width="8.83203125" style="15" customWidth="1"/>
    <col min="11030" max="11030" width="10.33203125" style="15" customWidth="1"/>
    <col min="11031" max="11033" width="9.33203125" style="15" customWidth="1"/>
    <col min="11034" max="11034" width="15.6640625" style="15" customWidth="1"/>
    <col min="11035" max="11035" width="12.6640625" style="15" customWidth="1"/>
    <col min="11036" max="11274" width="10" style="15"/>
    <col min="11275" max="11275" width="7.6640625" style="15" customWidth="1"/>
    <col min="11276" max="11276" width="4.33203125" style="15" customWidth="1"/>
    <col min="11277" max="11278" width="6.83203125" style="15" customWidth="1"/>
    <col min="11279" max="11279" width="6.33203125" style="15" customWidth="1"/>
    <col min="11280" max="11280" width="9" style="15" customWidth="1"/>
    <col min="11281" max="11283" width="8.33203125" style="15" customWidth="1"/>
    <col min="11284" max="11284" width="7.6640625" style="15" customWidth="1"/>
    <col min="11285" max="11285" width="8.83203125" style="15" customWidth="1"/>
    <col min="11286" max="11286" width="10.33203125" style="15" customWidth="1"/>
    <col min="11287" max="11289" width="9.33203125" style="15" customWidth="1"/>
    <col min="11290" max="11290" width="15.6640625" style="15" customWidth="1"/>
    <col min="11291" max="11291" width="12.6640625" style="15" customWidth="1"/>
    <col min="11292" max="11530" width="10" style="15"/>
    <col min="11531" max="11531" width="7.6640625" style="15" customWidth="1"/>
    <col min="11532" max="11532" width="4.33203125" style="15" customWidth="1"/>
    <col min="11533" max="11534" width="6.83203125" style="15" customWidth="1"/>
    <col min="11535" max="11535" width="6.33203125" style="15" customWidth="1"/>
    <col min="11536" max="11536" width="9" style="15" customWidth="1"/>
    <col min="11537" max="11539" width="8.33203125" style="15" customWidth="1"/>
    <col min="11540" max="11540" width="7.6640625" style="15" customWidth="1"/>
    <col min="11541" max="11541" width="8.83203125" style="15" customWidth="1"/>
    <col min="11542" max="11542" width="10.33203125" style="15" customWidth="1"/>
    <col min="11543" max="11545" width="9.33203125" style="15" customWidth="1"/>
    <col min="11546" max="11546" width="15.6640625" style="15" customWidth="1"/>
    <col min="11547" max="11547" width="12.6640625" style="15" customWidth="1"/>
    <col min="11548" max="11786" width="10" style="15"/>
    <col min="11787" max="11787" width="7.6640625" style="15" customWidth="1"/>
    <col min="11788" max="11788" width="4.33203125" style="15" customWidth="1"/>
    <col min="11789" max="11790" width="6.83203125" style="15" customWidth="1"/>
    <col min="11791" max="11791" width="6.33203125" style="15" customWidth="1"/>
    <col min="11792" max="11792" width="9" style="15" customWidth="1"/>
    <col min="11793" max="11795" width="8.33203125" style="15" customWidth="1"/>
    <col min="11796" max="11796" width="7.6640625" style="15" customWidth="1"/>
    <col min="11797" max="11797" width="8.83203125" style="15" customWidth="1"/>
    <col min="11798" max="11798" width="10.33203125" style="15" customWidth="1"/>
    <col min="11799" max="11801" width="9.33203125" style="15" customWidth="1"/>
    <col min="11802" max="11802" width="15.6640625" style="15" customWidth="1"/>
    <col min="11803" max="11803" width="12.6640625" style="15" customWidth="1"/>
    <col min="11804" max="12042" width="10" style="15"/>
    <col min="12043" max="12043" width="7.6640625" style="15" customWidth="1"/>
    <col min="12044" max="12044" width="4.33203125" style="15" customWidth="1"/>
    <col min="12045" max="12046" width="6.83203125" style="15" customWidth="1"/>
    <col min="12047" max="12047" width="6.33203125" style="15" customWidth="1"/>
    <col min="12048" max="12048" width="9" style="15" customWidth="1"/>
    <col min="12049" max="12051" width="8.33203125" style="15" customWidth="1"/>
    <col min="12052" max="12052" width="7.6640625" style="15" customWidth="1"/>
    <col min="12053" max="12053" width="8.83203125" style="15" customWidth="1"/>
    <col min="12054" max="12054" width="10.33203125" style="15" customWidth="1"/>
    <col min="12055" max="12057" width="9.33203125" style="15" customWidth="1"/>
    <col min="12058" max="12058" width="15.6640625" style="15" customWidth="1"/>
    <col min="12059" max="12059" width="12.6640625" style="15" customWidth="1"/>
    <col min="12060" max="12298" width="10" style="15"/>
    <col min="12299" max="12299" width="7.6640625" style="15" customWidth="1"/>
    <col min="12300" max="12300" width="4.33203125" style="15" customWidth="1"/>
    <col min="12301" max="12302" width="6.83203125" style="15" customWidth="1"/>
    <col min="12303" max="12303" width="6.33203125" style="15" customWidth="1"/>
    <col min="12304" max="12304" width="9" style="15" customWidth="1"/>
    <col min="12305" max="12307" width="8.33203125" style="15" customWidth="1"/>
    <col min="12308" max="12308" width="7.6640625" style="15" customWidth="1"/>
    <col min="12309" max="12309" width="8.83203125" style="15" customWidth="1"/>
    <col min="12310" max="12310" width="10.33203125" style="15" customWidth="1"/>
    <col min="12311" max="12313" width="9.33203125" style="15" customWidth="1"/>
    <col min="12314" max="12314" width="15.6640625" style="15" customWidth="1"/>
    <col min="12315" max="12315" width="12.6640625" style="15" customWidth="1"/>
    <col min="12316" max="12554" width="10" style="15"/>
    <col min="12555" max="12555" width="7.6640625" style="15" customWidth="1"/>
    <col min="12556" max="12556" width="4.33203125" style="15" customWidth="1"/>
    <col min="12557" max="12558" width="6.83203125" style="15" customWidth="1"/>
    <col min="12559" max="12559" width="6.33203125" style="15" customWidth="1"/>
    <col min="12560" max="12560" width="9" style="15" customWidth="1"/>
    <col min="12561" max="12563" width="8.33203125" style="15" customWidth="1"/>
    <col min="12564" max="12564" width="7.6640625" style="15" customWidth="1"/>
    <col min="12565" max="12565" width="8.83203125" style="15" customWidth="1"/>
    <col min="12566" max="12566" width="10.33203125" style="15" customWidth="1"/>
    <col min="12567" max="12569" width="9.33203125" style="15" customWidth="1"/>
    <col min="12570" max="12570" width="15.6640625" style="15" customWidth="1"/>
    <col min="12571" max="12571" width="12.6640625" style="15" customWidth="1"/>
    <col min="12572" max="12810" width="10" style="15"/>
    <col min="12811" max="12811" width="7.6640625" style="15" customWidth="1"/>
    <col min="12812" max="12812" width="4.33203125" style="15" customWidth="1"/>
    <col min="12813" max="12814" width="6.83203125" style="15" customWidth="1"/>
    <col min="12815" max="12815" width="6.33203125" style="15" customWidth="1"/>
    <col min="12816" max="12816" width="9" style="15" customWidth="1"/>
    <col min="12817" max="12819" width="8.33203125" style="15" customWidth="1"/>
    <col min="12820" max="12820" width="7.6640625" style="15" customWidth="1"/>
    <col min="12821" max="12821" width="8.83203125" style="15" customWidth="1"/>
    <col min="12822" max="12822" width="10.33203125" style="15" customWidth="1"/>
    <col min="12823" max="12825" width="9.33203125" style="15" customWidth="1"/>
    <col min="12826" max="12826" width="15.6640625" style="15" customWidth="1"/>
    <col min="12827" max="12827" width="12.6640625" style="15" customWidth="1"/>
    <col min="12828" max="13066" width="10" style="15"/>
    <col min="13067" max="13067" width="7.6640625" style="15" customWidth="1"/>
    <col min="13068" max="13068" width="4.33203125" style="15" customWidth="1"/>
    <col min="13069" max="13070" width="6.83203125" style="15" customWidth="1"/>
    <col min="13071" max="13071" width="6.33203125" style="15" customWidth="1"/>
    <col min="13072" max="13072" width="9" style="15" customWidth="1"/>
    <col min="13073" max="13075" width="8.33203125" style="15" customWidth="1"/>
    <col min="13076" max="13076" width="7.6640625" style="15" customWidth="1"/>
    <col min="13077" max="13077" width="8.83203125" style="15" customWidth="1"/>
    <col min="13078" max="13078" width="10.33203125" style="15" customWidth="1"/>
    <col min="13079" max="13081" width="9.33203125" style="15" customWidth="1"/>
    <col min="13082" max="13082" width="15.6640625" style="15" customWidth="1"/>
    <col min="13083" max="13083" width="12.6640625" style="15" customWidth="1"/>
    <col min="13084" max="13322" width="10" style="15"/>
    <col min="13323" max="13323" width="7.6640625" style="15" customWidth="1"/>
    <col min="13324" max="13324" width="4.33203125" style="15" customWidth="1"/>
    <col min="13325" max="13326" width="6.83203125" style="15" customWidth="1"/>
    <col min="13327" max="13327" width="6.33203125" style="15" customWidth="1"/>
    <col min="13328" max="13328" width="9" style="15" customWidth="1"/>
    <col min="13329" max="13331" width="8.33203125" style="15" customWidth="1"/>
    <col min="13332" max="13332" width="7.6640625" style="15" customWidth="1"/>
    <col min="13333" max="13333" width="8.83203125" style="15" customWidth="1"/>
    <col min="13334" max="13334" width="10.33203125" style="15" customWidth="1"/>
    <col min="13335" max="13337" width="9.33203125" style="15" customWidth="1"/>
    <col min="13338" max="13338" width="15.6640625" style="15" customWidth="1"/>
    <col min="13339" max="13339" width="12.6640625" style="15" customWidth="1"/>
    <col min="13340" max="13578" width="10" style="15"/>
    <col min="13579" max="13579" width="7.6640625" style="15" customWidth="1"/>
    <col min="13580" max="13580" width="4.33203125" style="15" customWidth="1"/>
    <col min="13581" max="13582" width="6.83203125" style="15" customWidth="1"/>
    <col min="13583" max="13583" width="6.33203125" style="15" customWidth="1"/>
    <col min="13584" max="13584" width="9" style="15" customWidth="1"/>
    <col min="13585" max="13587" width="8.33203125" style="15" customWidth="1"/>
    <col min="13588" max="13588" width="7.6640625" style="15" customWidth="1"/>
    <col min="13589" max="13589" width="8.83203125" style="15" customWidth="1"/>
    <col min="13590" max="13590" width="10.33203125" style="15" customWidth="1"/>
    <col min="13591" max="13593" width="9.33203125" style="15" customWidth="1"/>
    <col min="13594" max="13594" width="15.6640625" style="15" customWidth="1"/>
    <col min="13595" max="13595" width="12.6640625" style="15" customWidth="1"/>
    <col min="13596" max="13834" width="10" style="15"/>
    <col min="13835" max="13835" width="7.6640625" style="15" customWidth="1"/>
    <col min="13836" max="13836" width="4.33203125" style="15" customWidth="1"/>
    <col min="13837" max="13838" width="6.83203125" style="15" customWidth="1"/>
    <col min="13839" max="13839" width="6.33203125" style="15" customWidth="1"/>
    <col min="13840" max="13840" width="9" style="15" customWidth="1"/>
    <col min="13841" max="13843" width="8.33203125" style="15" customWidth="1"/>
    <col min="13844" max="13844" width="7.6640625" style="15" customWidth="1"/>
    <col min="13845" max="13845" width="8.83203125" style="15" customWidth="1"/>
    <col min="13846" max="13846" width="10.33203125" style="15" customWidth="1"/>
    <col min="13847" max="13849" width="9.33203125" style="15" customWidth="1"/>
    <col min="13850" max="13850" width="15.6640625" style="15" customWidth="1"/>
    <col min="13851" max="13851" width="12.6640625" style="15" customWidth="1"/>
    <col min="13852" max="14090" width="10" style="15"/>
    <col min="14091" max="14091" width="7.6640625" style="15" customWidth="1"/>
    <col min="14092" max="14092" width="4.33203125" style="15" customWidth="1"/>
    <col min="14093" max="14094" width="6.83203125" style="15" customWidth="1"/>
    <col min="14095" max="14095" width="6.33203125" style="15" customWidth="1"/>
    <col min="14096" max="14096" width="9" style="15" customWidth="1"/>
    <col min="14097" max="14099" width="8.33203125" style="15" customWidth="1"/>
    <col min="14100" max="14100" width="7.6640625" style="15" customWidth="1"/>
    <col min="14101" max="14101" width="8.83203125" style="15" customWidth="1"/>
    <col min="14102" max="14102" width="10.33203125" style="15" customWidth="1"/>
    <col min="14103" max="14105" width="9.33203125" style="15" customWidth="1"/>
    <col min="14106" max="14106" width="15.6640625" style="15" customWidth="1"/>
    <col min="14107" max="14107" width="12.6640625" style="15" customWidth="1"/>
    <col min="14108" max="14346" width="10" style="15"/>
    <col min="14347" max="14347" width="7.6640625" style="15" customWidth="1"/>
    <col min="14348" max="14348" width="4.33203125" style="15" customWidth="1"/>
    <col min="14349" max="14350" width="6.83203125" style="15" customWidth="1"/>
    <col min="14351" max="14351" width="6.33203125" style="15" customWidth="1"/>
    <col min="14352" max="14352" width="9" style="15" customWidth="1"/>
    <col min="14353" max="14355" width="8.33203125" style="15" customWidth="1"/>
    <col min="14356" max="14356" width="7.6640625" style="15" customWidth="1"/>
    <col min="14357" max="14357" width="8.83203125" style="15" customWidth="1"/>
    <col min="14358" max="14358" width="10.33203125" style="15" customWidth="1"/>
    <col min="14359" max="14361" width="9.33203125" style="15" customWidth="1"/>
    <col min="14362" max="14362" width="15.6640625" style="15" customWidth="1"/>
    <col min="14363" max="14363" width="12.6640625" style="15" customWidth="1"/>
    <col min="14364" max="14602" width="10" style="15"/>
    <col min="14603" max="14603" width="7.6640625" style="15" customWidth="1"/>
    <col min="14604" max="14604" width="4.33203125" style="15" customWidth="1"/>
    <col min="14605" max="14606" width="6.83203125" style="15" customWidth="1"/>
    <col min="14607" max="14607" width="6.33203125" style="15" customWidth="1"/>
    <col min="14608" max="14608" width="9" style="15" customWidth="1"/>
    <col min="14609" max="14611" width="8.33203125" style="15" customWidth="1"/>
    <col min="14612" max="14612" width="7.6640625" style="15" customWidth="1"/>
    <col min="14613" max="14613" width="8.83203125" style="15" customWidth="1"/>
    <col min="14614" max="14614" width="10.33203125" style="15" customWidth="1"/>
    <col min="14615" max="14617" width="9.33203125" style="15" customWidth="1"/>
    <col min="14618" max="14618" width="15.6640625" style="15" customWidth="1"/>
    <col min="14619" max="14619" width="12.6640625" style="15" customWidth="1"/>
    <col min="14620" max="14858" width="10" style="15"/>
    <col min="14859" max="14859" width="7.6640625" style="15" customWidth="1"/>
    <col min="14860" max="14860" width="4.33203125" style="15" customWidth="1"/>
    <col min="14861" max="14862" width="6.83203125" style="15" customWidth="1"/>
    <col min="14863" max="14863" width="6.33203125" style="15" customWidth="1"/>
    <col min="14864" max="14864" width="9" style="15" customWidth="1"/>
    <col min="14865" max="14867" width="8.33203125" style="15" customWidth="1"/>
    <col min="14868" max="14868" width="7.6640625" style="15" customWidth="1"/>
    <col min="14869" max="14869" width="8.83203125" style="15" customWidth="1"/>
    <col min="14870" max="14870" width="10.33203125" style="15" customWidth="1"/>
    <col min="14871" max="14873" width="9.33203125" style="15" customWidth="1"/>
    <col min="14874" max="14874" width="15.6640625" style="15" customWidth="1"/>
    <col min="14875" max="14875" width="12.6640625" style="15" customWidth="1"/>
    <col min="14876" max="15114" width="10" style="15"/>
    <col min="15115" max="15115" width="7.6640625" style="15" customWidth="1"/>
    <col min="15116" max="15116" width="4.33203125" style="15" customWidth="1"/>
    <col min="15117" max="15118" width="6.83203125" style="15" customWidth="1"/>
    <col min="15119" max="15119" width="6.33203125" style="15" customWidth="1"/>
    <col min="15120" max="15120" width="9" style="15" customWidth="1"/>
    <col min="15121" max="15123" width="8.33203125" style="15" customWidth="1"/>
    <col min="15124" max="15124" width="7.6640625" style="15" customWidth="1"/>
    <col min="15125" max="15125" width="8.83203125" style="15" customWidth="1"/>
    <col min="15126" max="15126" width="10.33203125" style="15" customWidth="1"/>
    <col min="15127" max="15129" width="9.33203125" style="15" customWidth="1"/>
    <col min="15130" max="15130" width="15.6640625" style="15" customWidth="1"/>
    <col min="15131" max="15131" width="12.6640625" style="15" customWidth="1"/>
    <col min="15132" max="15370" width="10" style="15"/>
    <col min="15371" max="15371" width="7.6640625" style="15" customWidth="1"/>
    <col min="15372" max="15372" width="4.33203125" style="15" customWidth="1"/>
    <col min="15373" max="15374" width="6.83203125" style="15" customWidth="1"/>
    <col min="15375" max="15375" width="6.33203125" style="15" customWidth="1"/>
    <col min="15376" max="15376" width="9" style="15" customWidth="1"/>
    <col min="15377" max="15379" width="8.33203125" style="15" customWidth="1"/>
    <col min="15380" max="15380" width="7.6640625" style="15" customWidth="1"/>
    <col min="15381" max="15381" width="8.83203125" style="15" customWidth="1"/>
    <col min="15382" max="15382" width="10.33203125" style="15" customWidth="1"/>
    <col min="15383" max="15385" width="9.33203125" style="15" customWidth="1"/>
    <col min="15386" max="15386" width="15.6640625" style="15" customWidth="1"/>
    <col min="15387" max="15387" width="12.6640625" style="15" customWidth="1"/>
    <col min="15388" max="15626" width="10" style="15"/>
    <col min="15627" max="15627" width="7.6640625" style="15" customWidth="1"/>
    <col min="15628" max="15628" width="4.33203125" style="15" customWidth="1"/>
    <col min="15629" max="15630" width="6.83203125" style="15" customWidth="1"/>
    <col min="15631" max="15631" width="6.33203125" style="15" customWidth="1"/>
    <col min="15632" max="15632" width="9" style="15" customWidth="1"/>
    <col min="15633" max="15635" width="8.33203125" style="15" customWidth="1"/>
    <col min="15636" max="15636" width="7.6640625" style="15" customWidth="1"/>
    <col min="15637" max="15637" width="8.83203125" style="15" customWidth="1"/>
    <col min="15638" max="15638" width="10.33203125" style="15" customWidth="1"/>
    <col min="15639" max="15641" width="9.33203125" style="15" customWidth="1"/>
    <col min="15642" max="15642" width="15.6640625" style="15" customWidth="1"/>
    <col min="15643" max="15643" width="12.6640625" style="15" customWidth="1"/>
    <col min="15644" max="15882" width="10" style="15"/>
    <col min="15883" max="15883" width="7.6640625" style="15" customWidth="1"/>
    <col min="15884" max="15884" width="4.33203125" style="15" customWidth="1"/>
    <col min="15885" max="15886" width="6.83203125" style="15" customWidth="1"/>
    <col min="15887" max="15887" width="6.33203125" style="15" customWidth="1"/>
    <col min="15888" max="15888" width="9" style="15" customWidth="1"/>
    <col min="15889" max="15891" width="8.33203125" style="15" customWidth="1"/>
    <col min="15892" max="15892" width="7.6640625" style="15" customWidth="1"/>
    <col min="15893" max="15893" width="8.83203125" style="15" customWidth="1"/>
    <col min="15894" max="15894" width="10.33203125" style="15" customWidth="1"/>
    <col min="15895" max="15897" width="9.33203125" style="15" customWidth="1"/>
    <col min="15898" max="15898" width="15.6640625" style="15" customWidth="1"/>
    <col min="15899" max="15899" width="12.6640625" style="15" customWidth="1"/>
    <col min="15900" max="16138" width="10" style="15"/>
    <col min="16139" max="16139" width="7.6640625" style="15" customWidth="1"/>
    <col min="16140" max="16140" width="4.33203125" style="15" customWidth="1"/>
    <col min="16141" max="16142" width="6.83203125" style="15" customWidth="1"/>
    <col min="16143" max="16143" width="6.33203125" style="15" customWidth="1"/>
    <col min="16144" max="16144" width="9" style="15" customWidth="1"/>
    <col min="16145" max="16147" width="8.33203125" style="15" customWidth="1"/>
    <col min="16148" max="16148" width="7.6640625" style="15" customWidth="1"/>
    <col min="16149" max="16149" width="8.83203125" style="15" customWidth="1"/>
    <col min="16150" max="16150" width="10.33203125" style="15" customWidth="1"/>
    <col min="16151" max="16153" width="9.33203125" style="15" customWidth="1"/>
    <col min="16154" max="16154" width="15.6640625" style="15" customWidth="1"/>
    <col min="16155" max="16155" width="12.6640625" style="15" customWidth="1"/>
    <col min="16156" max="16384" width="10" style="15"/>
  </cols>
  <sheetData>
    <row r="1" spans="1:59" s="1" customFormat="1" ht="17">
      <c r="A1" s="115" t="s">
        <v>103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53" t="s">
        <v>71</v>
      </c>
      <c r="AD1" s="53"/>
      <c r="AE1" s="53"/>
      <c r="AF1" s="2"/>
      <c r="AG1" s="3"/>
    </row>
    <row r="2" spans="1:59" s="1" customFormat="1" ht="17">
      <c r="A2" s="116" t="s">
        <v>105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81">
        <v>5.5782999999999996</v>
      </c>
      <c r="AD2" s="15"/>
      <c r="AE2" s="15"/>
      <c r="AF2" s="2"/>
      <c r="AG2" s="3"/>
    </row>
    <row r="3" spans="1:59" s="37" customFormat="1" ht="15.75" customHeight="1">
      <c r="A3" s="111" t="s">
        <v>77</v>
      </c>
      <c r="B3" s="111" t="s">
        <v>1</v>
      </c>
      <c r="C3" s="111" t="s">
        <v>2</v>
      </c>
      <c r="D3" s="111"/>
      <c r="E3" s="111"/>
      <c r="F3" s="111"/>
      <c r="G3" s="111"/>
      <c r="H3" s="111"/>
      <c r="I3" s="111" t="s">
        <v>3</v>
      </c>
      <c r="J3" s="107" t="s">
        <v>4</v>
      </c>
      <c r="K3" s="107" t="s">
        <v>5</v>
      </c>
      <c r="L3" s="107"/>
      <c r="M3" s="107"/>
      <c r="N3" s="107"/>
      <c r="O3" s="107"/>
      <c r="P3" s="107"/>
      <c r="Q3" s="107"/>
      <c r="R3" s="107" t="s">
        <v>69</v>
      </c>
      <c r="S3" s="111" t="s">
        <v>82</v>
      </c>
      <c r="T3" s="111"/>
      <c r="U3" s="107" t="s">
        <v>6</v>
      </c>
      <c r="V3" s="107" t="s">
        <v>89</v>
      </c>
      <c r="W3" s="107" t="s">
        <v>65</v>
      </c>
      <c r="X3" s="107" t="s">
        <v>63</v>
      </c>
      <c r="Y3" s="107"/>
      <c r="Z3" s="107"/>
      <c r="AA3" s="107" t="s">
        <v>67</v>
      </c>
      <c r="AB3" s="107" t="s">
        <v>8</v>
      </c>
      <c r="AC3" s="112" t="s">
        <v>7</v>
      </c>
      <c r="AD3" s="107" t="s">
        <v>123</v>
      </c>
      <c r="AE3" s="15"/>
      <c r="AF3" s="12" t="s">
        <v>33</v>
      </c>
      <c r="AG3" s="9" t="s">
        <v>34</v>
      </c>
    </row>
    <row r="4" spans="1:59" s="37" customFormat="1" ht="36.75" customHeight="1">
      <c r="A4" s="111"/>
      <c r="B4" s="111"/>
      <c r="C4" s="111" t="s">
        <v>9</v>
      </c>
      <c r="D4" s="111"/>
      <c r="E4" s="111"/>
      <c r="F4" s="111"/>
      <c r="G4" s="111" t="s">
        <v>10</v>
      </c>
      <c r="H4" s="111" t="s">
        <v>11</v>
      </c>
      <c r="I4" s="111"/>
      <c r="J4" s="107"/>
      <c r="K4" s="107" t="s">
        <v>12</v>
      </c>
      <c r="L4" s="107"/>
      <c r="M4" s="107"/>
      <c r="N4" s="107"/>
      <c r="O4" s="107" t="s">
        <v>13</v>
      </c>
      <c r="P4" s="107"/>
      <c r="Q4" s="107" t="s">
        <v>68</v>
      </c>
      <c r="R4" s="107"/>
      <c r="S4" s="111"/>
      <c r="T4" s="111"/>
      <c r="U4" s="107"/>
      <c r="V4" s="107"/>
      <c r="W4" s="107"/>
      <c r="X4" s="107"/>
      <c r="Y4" s="107"/>
      <c r="Z4" s="107"/>
      <c r="AA4" s="107"/>
      <c r="AB4" s="107"/>
      <c r="AC4" s="113"/>
      <c r="AD4" s="107"/>
      <c r="AE4" s="15"/>
      <c r="AF4" s="40" t="s">
        <v>35</v>
      </c>
      <c r="AG4" s="78">
        <f>ROUND(H21/$AC$2,0)</f>
        <v>0</v>
      </c>
    </row>
    <row r="5" spans="1:59" s="37" customFormat="1" ht="23.75" customHeight="1">
      <c r="A5" s="111"/>
      <c r="B5" s="111"/>
      <c r="C5" s="39" t="s">
        <v>14</v>
      </c>
      <c r="D5" s="39" t="s">
        <v>15</v>
      </c>
      <c r="E5" s="39" t="s">
        <v>16</v>
      </c>
      <c r="F5" s="39" t="s">
        <v>17</v>
      </c>
      <c r="G5" s="111"/>
      <c r="H5" s="111"/>
      <c r="I5" s="111"/>
      <c r="J5" s="107"/>
      <c r="K5" s="40" t="s">
        <v>18</v>
      </c>
      <c r="L5" s="40" t="s">
        <v>19</v>
      </c>
      <c r="M5" s="40" t="s">
        <v>20</v>
      </c>
      <c r="N5" s="40" t="s">
        <v>21</v>
      </c>
      <c r="O5" s="40" t="s">
        <v>22</v>
      </c>
      <c r="P5" s="40" t="s">
        <v>23</v>
      </c>
      <c r="Q5" s="107"/>
      <c r="R5" s="107"/>
      <c r="S5" s="5" t="s">
        <v>61</v>
      </c>
      <c r="T5" s="6" t="s">
        <v>62</v>
      </c>
      <c r="U5" s="107"/>
      <c r="V5" s="107"/>
      <c r="W5" s="107"/>
      <c r="X5" s="6" t="s">
        <v>61</v>
      </c>
      <c r="Y5" s="6" t="s">
        <v>62</v>
      </c>
      <c r="Z5" s="6" t="s">
        <v>66</v>
      </c>
      <c r="AA5" s="107"/>
      <c r="AB5" s="107"/>
      <c r="AC5" s="114"/>
      <c r="AD5" s="107"/>
      <c r="AE5" s="15"/>
      <c r="AF5" s="40" t="s">
        <v>36</v>
      </c>
      <c r="AG5" s="78">
        <f>ROUND(J21/$AC$2,0)</f>
        <v>0</v>
      </c>
    </row>
    <row r="6" spans="1:59" s="8" customFormat="1" ht="16.5" customHeight="1">
      <c r="A6" s="9">
        <v>1</v>
      </c>
      <c r="B6" s="9" t="s">
        <v>94</v>
      </c>
      <c r="C6" s="70"/>
      <c r="D6" s="68"/>
      <c r="E6" s="67"/>
      <c r="F6" s="68"/>
      <c r="G6" s="84">
        <v>2</v>
      </c>
      <c r="H6" s="64">
        <f t="shared" ref="H6:H7" si="0">(D6+F6)*G6</f>
        <v>0</v>
      </c>
      <c r="I6" s="83"/>
      <c r="J6" s="82"/>
      <c r="K6" s="69"/>
      <c r="L6" s="66"/>
      <c r="M6" s="85"/>
      <c r="N6" s="85"/>
      <c r="O6" s="85"/>
      <c r="P6" s="64"/>
      <c r="Q6" s="64">
        <f>SUM(K6:P6)</f>
        <v>0</v>
      </c>
      <c r="R6" s="86"/>
      <c r="S6" s="64">
        <f t="shared" ref="S6:S9" si="1">SUM(H6,J6,Q6,R6)</f>
        <v>0</v>
      </c>
      <c r="T6" s="64">
        <f t="shared" ref="T6:T9" si="2">ROUND(S6/$AC$2,0)</f>
        <v>0</v>
      </c>
      <c r="U6" s="66"/>
      <c r="V6" s="85"/>
      <c r="W6" s="44">
        <f t="shared" ref="W6:W7" si="3">ROUND(T6+U6+V6,0)</f>
        <v>0</v>
      </c>
      <c r="X6" s="44"/>
      <c r="Y6" s="44"/>
      <c r="Z6" s="44">
        <f t="shared" ref="Z6:Z9" si="4">ROUND(X6/$AC$2+Y6,0)</f>
        <v>0</v>
      </c>
      <c r="AA6" s="79">
        <f t="shared" ref="AA6:AA9" si="5">W6-Z6</f>
        <v>0</v>
      </c>
      <c r="AB6" s="54"/>
      <c r="AC6" s="34">
        <f>AA6-12000</f>
        <v>-12000</v>
      </c>
      <c r="AD6" s="104" t="s">
        <v>134</v>
      </c>
      <c r="AE6" s="15"/>
      <c r="AF6" s="40" t="s">
        <v>18</v>
      </c>
      <c r="AG6" s="78">
        <f>ROUND(K21/$AC$2,0)</f>
        <v>0</v>
      </c>
    </row>
    <row r="7" spans="1:59" s="8" customFormat="1" ht="16.5" customHeight="1">
      <c r="A7" s="9">
        <v>2</v>
      </c>
      <c r="B7" s="9" t="s">
        <v>92</v>
      </c>
      <c r="C7" s="70"/>
      <c r="D7" s="68"/>
      <c r="E7" s="67"/>
      <c r="F7" s="68"/>
      <c r="G7" s="84">
        <v>2</v>
      </c>
      <c r="H7" s="64">
        <f t="shared" si="0"/>
        <v>0</v>
      </c>
      <c r="I7" s="83"/>
      <c r="J7" s="68"/>
      <c r="K7" s="69"/>
      <c r="L7" s="66"/>
      <c r="M7" s="85"/>
      <c r="N7" s="85"/>
      <c r="O7" s="85"/>
      <c r="P7" s="64"/>
      <c r="Q7" s="64">
        <f>SUM(K7:P7)</f>
        <v>0</v>
      </c>
      <c r="R7" s="86"/>
      <c r="S7" s="64">
        <f t="shared" si="1"/>
        <v>0</v>
      </c>
      <c r="T7" s="64">
        <f t="shared" si="2"/>
        <v>0</v>
      </c>
      <c r="U7" s="85"/>
      <c r="V7" s="85"/>
      <c r="W7" s="44">
        <f t="shared" si="3"/>
        <v>0</v>
      </c>
      <c r="X7" s="44"/>
      <c r="Y7" s="44"/>
      <c r="Z7" s="44">
        <f t="shared" si="4"/>
        <v>0</v>
      </c>
      <c r="AA7" s="79">
        <f t="shared" si="5"/>
        <v>0</v>
      </c>
      <c r="AB7" s="54"/>
      <c r="AC7" s="34">
        <f>AA7-12000</f>
        <v>-12000</v>
      </c>
      <c r="AD7" s="104" t="s">
        <v>135</v>
      </c>
      <c r="AE7" s="15"/>
      <c r="AF7" s="40" t="s">
        <v>19</v>
      </c>
      <c r="AG7" s="78">
        <f>ROUND(L21/$AC$2,0)</f>
        <v>0</v>
      </c>
    </row>
    <row r="8" spans="1:59" s="13" customFormat="1" ht="16.5" customHeight="1">
      <c r="A8" s="14">
        <v>3</v>
      </c>
      <c r="B8" s="9" t="s">
        <v>93</v>
      </c>
      <c r="C8" s="70"/>
      <c r="D8" s="68"/>
      <c r="E8" s="67"/>
      <c r="F8" s="68"/>
      <c r="G8" s="84">
        <v>2</v>
      </c>
      <c r="H8" s="64">
        <f>(D8+F8)*G8</f>
        <v>0</v>
      </c>
      <c r="I8" s="83"/>
      <c r="J8" s="68"/>
      <c r="K8" s="85"/>
      <c r="L8" s="85"/>
      <c r="M8" s="85"/>
      <c r="N8" s="85"/>
      <c r="O8" s="85"/>
      <c r="P8" s="64"/>
      <c r="Q8" s="64">
        <f>SUM(K8:P8)</f>
        <v>0</v>
      </c>
      <c r="R8" s="48"/>
      <c r="S8" s="64">
        <f>SUM(H8,J8,Q8,R8)</f>
        <v>0</v>
      </c>
      <c r="T8" s="64">
        <f t="shared" si="2"/>
        <v>0</v>
      </c>
      <c r="U8" s="66"/>
      <c r="V8" s="85"/>
      <c r="W8" s="44">
        <f>ROUND(T8+U8+V8,0)</f>
        <v>0</v>
      </c>
      <c r="X8" s="44"/>
      <c r="Y8" s="44"/>
      <c r="Z8" s="44">
        <f t="shared" si="4"/>
        <v>0</v>
      </c>
      <c r="AA8" s="79">
        <f t="shared" si="5"/>
        <v>0</v>
      </c>
      <c r="AB8" s="65"/>
      <c r="AC8" s="34">
        <f>AA8-12000</f>
        <v>-12000</v>
      </c>
      <c r="AD8" s="104" t="s">
        <v>136</v>
      </c>
      <c r="AE8" s="15"/>
      <c r="AF8" s="40" t="s">
        <v>20</v>
      </c>
      <c r="AG8" s="78">
        <f>ROUND(M21/$AC$2,0)</f>
        <v>0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8" customFormat="1" ht="16.5" customHeight="1">
      <c r="A9" s="9">
        <v>4</v>
      </c>
      <c r="B9" s="9" t="s">
        <v>95</v>
      </c>
      <c r="C9" s="88"/>
      <c r="D9" s="82"/>
      <c r="E9" s="50"/>
      <c r="F9" s="68"/>
      <c r="G9" s="45">
        <v>2</v>
      </c>
      <c r="H9" s="46">
        <f t="shared" ref="H9" si="6">(D9+F9)*G9</f>
        <v>0</v>
      </c>
      <c r="I9" s="83"/>
      <c r="J9" s="68"/>
      <c r="K9" s="85"/>
      <c r="L9" s="85"/>
      <c r="M9" s="46"/>
      <c r="N9" s="46"/>
      <c r="O9" s="46"/>
      <c r="P9" s="46"/>
      <c r="Q9" s="46">
        <f t="shared" ref="Q9" si="7">SUM(K9:P9)</f>
        <v>0</v>
      </c>
      <c r="R9" s="48"/>
      <c r="S9" s="46">
        <f t="shared" si="1"/>
        <v>0</v>
      </c>
      <c r="T9" s="46">
        <f t="shared" si="2"/>
        <v>0</v>
      </c>
      <c r="U9" s="66"/>
      <c r="V9" s="44"/>
      <c r="W9" s="44">
        <f t="shared" ref="W9" si="8">ROUND(T9+U9+V9,0)</f>
        <v>0</v>
      </c>
      <c r="X9" s="44"/>
      <c r="Y9" s="44"/>
      <c r="Z9" s="44">
        <f t="shared" si="4"/>
        <v>0</v>
      </c>
      <c r="AA9" s="79">
        <f t="shared" si="5"/>
        <v>0</v>
      </c>
      <c r="AB9" s="54"/>
      <c r="AC9" s="34">
        <f>AA9-12000</f>
        <v>-12000</v>
      </c>
      <c r="AD9" s="104" t="s">
        <v>137</v>
      </c>
      <c r="AE9" s="15"/>
      <c r="AF9" s="40" t="s">
        <v>21</v>
      </c>
      <c r="AG9" s="78">
        <f>ROUND(N21/$AC$2,0)</f>
        <v>0</v>
      </c>
    </row>
    <row r="10" spans="1:59" s="8" customFormat="1" ht="16.5" customHeight="1">
      <c r="A10" s="9">
        <v>5</v>
      </c>
      <c r="B10" s="9"/>
      <c r="C10" s="70"/>
      <c r="D10" s="68"/>
      <c r="E10" s="83"/>
      <c r="F10" s="82"/>
      <c r="G10" s="84">
        <v>2</v>
      </c>
      <c r="H10" s="64">
        <f t="shared" ref="H10:H13" si="9">(D10+F10)*G10</f>
        <v>0</v>
      </c>
      <c r="I10" s="83"/>
      <c r="J10" s="82"/>
      <c r="K10" s="85"/>
      <c r="L10" s="85"/>
      <c r="M10" s="85"/>
      <c r="N10" s="85"/>
      <c r="O10" s="85"/>
      <c r="P10" s="64"/>
      <c r="Q10" s="64">
        <f t="shared" ref="Q10:Q13" si="10">SUM(K10:P10)</f>
        <v>0</v>
      </c>
      <c r="R10" s="86"/>
      <c r="S10" s="64">
        <f t="shared" ref="S10:S13" si="11">SUM(H10,J10,Q10,R10)</f>
        <v>0</v>
      </c>
      <c r="T10" s="64">
        <f t="shared" ref="T10:T13" si="12">ROUND(S10/$AC$2,0)</f>
        <v>0</v>
      </c>
      <c r="U10" s="85"/>
      <c r="V10" s="85"/>
      <c r="W10" s="44">
        <f t="shared" ref="W10:W13" si="13">ROUND(T10+U10+V10,0)</f>
        <v>0</v>
      </c>
      <c r="X10" s="44"/>
      <c r="Y10" s="44"/>
      <c r="Z10" s="44">
        <f t="shared" ref="Z10:Z13" si="14">ROUND(X10/$AC$2+Y10,0)</f>
        <v>0</v>
      </c>
      <c r="AA10" s="79">
        <f t="shared" ref="AA10:AA13" si="15">W10-Z10</f>
        <v>0</v>
      </c>
      <c r="AB10" s="54"/>
      <c r="AC10" s="34">
        <f>AA10-12000</f>
        <v>-12000</v>
      </c>
      <c r="AD10" s="54"/>
      <c r="AE10" s="15"/>
      <c r="AF10" s="40" t="s">
        <v>22</v>
      </c>
      <c r="AG10" s="78">
        <f>ROUND(O21/$AC$2,0)</f>
        <v>0</v>
      </c>
    </row>
    <row r="11" spans="1:59" s="8" customFormat="1" ht="16.5" customHeight="1">
      <c r="A11" s="14">
        <v>6</v>
      </c>
      <c r="B11" s="9"/>
      <c r="C11" s="70"/>
      <c r="D11" s="68"/>
      <c r="E11" s="83"/>
      <c r="F11" s="82"/>
      <c r="G11" s="84">
        <v>2</v>
      </c>
      <c r="H11" s="64">
        <f t="shared" si="9"/>
        <v>0</v>
      </c>
      <c r="I11" s="83"/>
      <c r="J11" s="82"/>
      <c r="K11" s="85"/>
      <c r="L11" s="85"/>
      <c r="M11" s="85"/>
      <c r="N11" s="85"/>
      <c r="O11" s="85"/>
      <c r="P11" s="64"/>
      <c r="Q11" s="64">
        <f t="shared" si="10"/>
        <v>0</v>
      </c>
      <c r="R11" s="86"/>
      <c r="S11" s="64">
        <f t="shared" si="11"/>
        <v>0</v>
      </c>
      <c r="T11" s="64">
        <f t="shared" si="12"/>
        <v>0</v>
      </c>
      <c r="U11" s="85"/>
      <c r="V11" s="85"/>
      <c r="W11" s="44">
        <f t="shared" si="13"/>
        <v>0</v>
      </c>
      <c r="X11" s="44"/>
      <c r="Y11" s="44"/>
      <c r="Z11" s="44">
        <f t="shared" si="14"/>
        <v>0</v>
      </c>
      <c r="AA11" s="79">
        <f t="shared" si="15"/>
        <v>0</v>
      </c>
      <c r="AB11" s="54"/>
      <c r="AC11" s="34">
        <f t="shared" ref="AC11:AC20" si="16">AA11-12000</f>
        <v>-12000</v>
      </c>
      <c r="AD11" s="54"/>
      <c r="AE11" s="15"/>
      <c r="AF11" s="40" t="s">
        <v>23</v>
      </c>
      <c r="AG11" s="78">
        <f>ROUND(P21/$AC$2,0)</f>
        <v>0</v>
      </c>
    </row>
    <row r="12" spans="1:59" s="8" customFormat="1" ht="16.5" customHeight="1">
      <c r="A12" s="9">
        <v>7</v>
      </c>
      <c r="B12" s="9"/>
      <c r="C12" s="70"/>
      <c r="D12" s="68"/>
      <c r="E12" s="83"/>
      <c r="F12" s="82"/>
      <c r="G12" s="84">
        <v>2</v>
      </c>
      <c r="H12" s="64">
        <f t="shared" si="9"/>
        <v>0</v>
      </c>
      <c r="I12" s="83"/>
      <c r="J12" s="82"/>
      <c r="K12" s="85"/>
      <c r="L12" s="85"/>
      <c r="M12" s="85"/>
      <c r="N12" s="85"/>
      <c r="O12" s="85"/>
      <c r="P12" s="64"/>
      <c r="Q12" s="64">
        <f t="shared" si="10"/>
        <v>0</v>
      </c>
      <c r="R12" s="86"/>
      <c r="S12" s="64">
        <f t="shared" si="11"/>
        <v>0</v>
      </c>
      <c r="T12" s="64">
        <f t="shared" si="12"/>
        <v>0</v>
      </c>
      <c r="U12" s="85"/>
      <c r="V12" s="85"/>
      <c r="W12" s="44">
        <f t="shared" si="13"/>
        <v>0</v>
      </c>
      <c r="X12" s="44"/>
      <c r="Y12" s="44"/>
      <c r="Z12" s="44">
        <f t="shared" si="14"/>
        <v>0</v>
      </c>
      <c r="AA12" s="79">
        <f t="shared" si="15"/>
        <v>0</v>
      </c>
      <c r="AB12" s="54"/>
      <c r="AC12" s="34">
        <f t="shared" si="16"/>
        <v>-12000</v>
      </c>
      <c r="AD12" s="54"/>
      <c r="AE12" s="15"/>
      <c r="AF12" s="40" t="s">
        <v>76</v>
      </c>
      <c r="AG12" s="78">
        <f>ROUND(R21/$AC$2,0)</f>
        <v>0</v>
      </c>
    </row>
    <row r="13" spans="1:59" s="8" customFormat="1" ht="16.5" customHeight="1">
      <c r="A13" s="9">
        <v>8</v>
      </c>
      <c r="B13" s="9"/>
      <c r="C13" s="70"/>
      <c r="D13" s="68"/>
      <c r="E13" s="83"/>
      <c r="F13" s="82"/>
      <c r="G13" s="84">
        <v>2</v>
      </c>
      <c r="H13" s="64">
        <f t="shared" si="9"/>
        <v>0</v>
      </c>
      <c r="I13" s="83"/>
      <c r="J13" s="82"/>
      <c r="K13" s="85"/>
      <c r="L13" s="85"/>
      <c r="M13" s="85"/>
      <c r="N13" s="85"/>
      <c r="O13" s="85"/>
      <c r="P13" s="64"/>
      <c r="Q13" s="64">
        <f t="shared" si="10"/>
        <v>0</v>
      </c>
      <c r="R13" s="86"/>
      <c r="S13" s="64">
        <f t="shared" si="11"/>
        <v>0</v>
      </c>
      <c r="T13" s="64">
        <f t="shared" si="12"/>
        <v>0</v>
      </c>
      <c r="U13" s="85"/>
      <c r="V13" s="85"/>
      <c r="W13" s="44">
        <f t="shared" si="13"/>
        <v>0</v>
      </c>
      <c r="X13" s="44"/>
      <c r="Y13" s="44"/>
      <c r="Z13" s="44">
        <f t="shared" si="14"/>
        <v>0</v>
      </c>
      <c r="AA13" s="79">
        <f t="shared" si="15"/>
        <v>0</v>
      </c>
      <c r="AB13" s="54"/>
      <c r="AC13" s="34">
        <f t="shared" si="16"/>
        <v>-12000</v>
      </c>
      <c r="AD13" s="54"/>
      <c r="AE13" s="15"/>
      <c r="AF13" s="56" t="s">
        <v>72</v>
      </c>
      <c r="AG13" s="77">
        <f>U21</f>
        <v>0</v>
      </c>
    </row>
    <row r="14" spans="1:59" s="8" customFormat="1" ht="16.5" customHeight="1">
      <c r="A14" s="14">
        <v>9</v>
      </c>
      <c r="B14" s="9"/>
      <c r="C14" s="70"/>
      <c r="D14" s="68"/>
      <c r="E14" s="83"/>
      <c r="F14" s="82"/>
      <c r="G14" s="84">
        <v>2</v>
      </c>
      <c r="H14" s="64">
        <f t="shared" ref="H14:H19" si="17">(D14+F14)*G14</f>
        <v>0</v>
      </c>
      <c r="I14" s="83"/>
      <c r="J14" s="82"/>
      <c r="K14" s="85"/>
      <c r="L14" s="85"/>
      <c r="M14" s="85"/>
      <c r="N14" s="85"/>
      <c r="O14" s="85"/>
      <c r="P14" s="64"/>
      <c r="Q14" s="64">
        <f t="shared" ref="Q14:Q19" si="18">SUM(K14:P14)</f>
        <v>0</v>
      </c>
      <c r="R14" s="86"/>
      <c r="S14" s="64">
        <f t="shared" ref="S14:S19" si="19">SUM(H14,J14,Q14,R14)</f>
        <v>0</v>
      </c>
      <c r="T14" s="64">
        <f t="shared" ref="T14:T19" si="20">ROUND(S14/$AC$2,0)</f>
        <v>0</v>
      </c>
      <c r="U14" s="85"/>
      <c r="V14" s="85"/>
      <c r="W14" s="44">
        <f t="shared" ref="W14:W19" si="21">ROUND(T14+U14+V14,0)</f>
        <v>0</v>
      </c>
      <c r="X14" s="44"/>
      <c r="Y14" s="44"/>
      <c r="Z14" s="44">
        <f t="shared" ref="Z14:Z19" si="22">ROUND(X14/$AC$2+Y14,0)</f>
        <v>0</v>
      </c>
      <c r="AA14" s="79">
        <f t="shared" ref="AA14:AA19" si="23">W14-Z14</f>
        <v>0</v>
      </c>
      <c r="AB14" s="54"/>
      <c r="AC14" s="34">
        <f t="shared" si="16"/>
        <v>-12000</v>
      </c>
      <c r="AD14" s="54"/>
      <c r="AE14" s="15"/>
      <c r="AF14" s="27" t="s">
        <v>73</v>
      </c>
      <c r="AG14" s="57"/>
    </row>
    <row r="15" spans="1:59" s="8" customFormat="1" ht="18" customHeight="1">
      <c r="A15" s="9">
        <v>10</v>
      </c>
      <c r="B15" s="9"/>
      <c r="C15" s="70"/>
      <c r="D15" s="68"/>
      <c r="E15" s="83"/>
      <c r="F15" s="82"/>
      <c r="G15" s="84">
        <v>2</v>
      </c>
      <c r="H15" s="64">
        <f t="shared" si="17"/>
        <v>0</v>
      </c>
      <c r="I15" s="83"/>
      <c r="J15" s="82"/>
      <c r="K15" s="85"/>
      <c r="L15" s="85"/>
      <c r="M15" s="85"/>
      <c r="N15" s="85"/>
      <c r="O15" s="85"/>
      <c r="P15" s="64"/>
      <c r="Q15" s="64">
        <f t="shared" si="18"/>
        <v>0</v>
      </c>
      <c r="R15" s="86"/>
      <c r="S15" s="64">
        <f t="shared" si="19"/>
        <v>0</v>
      </c>
      <c r="T15" s="64">
        <f t="shared" si="20"/>
        <v>0</v>
      </c>
      <c r="U15" s="85"/>
      <c r="V15" s="85"/>
      <c r="W15" s="44">
        <f t="shared" si="21"/>
        <v>0</v>
      </c>
      <c r="X15" s="44"/>
      <c r="Y15" s="44"/>
      <c r="Z15" s="44">
        <f t="shared" si="22"/>
        <v>0</v>
      </c>
      <c r="AA15" s="79">
        <f t="shared" si="23"/>
        <v>0</v>
      </c>
      <c r="AB15" s="54"/>
      <c r="AC15" s="34">
        <f t="shared" si="16"/>
        <v>-12000</v>
      </c>
      <c r="AD15" s="54"/>
      <c r="AE15" s="15"/>
      <c r="AF15" s="28" t="s">
        <v>74</v>
      </c>
      <c r="AG15" s="78">
        <f>SUM(AG13:AG14)</f>
        <v>0</v>
      </c>
    </row>
    <row r="16" spans="1:59" s="8" customFormat="1" ht="16.5" customHeight="1">
      <c r="A16" s="9">
        <v>11</v>
      </c>
      <c r="B16" s="9"/>
      <c r="C16" s="70"/>
      <c r="D16" s="68"/>
      <c r="E16" s="83"/>
      <c r="F16" s="82"/>
      <c r="G16" s="84">
        <v>2</v>
      </c>
      <c r="H16" s="64">
        <f t="shared" si="17"/>
        <v>0</v>
      </c>
      <c r="I16" s="83"/>
      <c r="J16" s="82"/>
      <c r="K16" s="85"/>
      <c r="L16" s="85"/>
      <c r="M16" s="85"/>
      <c r="N16" s="85"/>
      <c r="O16" s="85"/>
      <c r="P16" s="64"/>
      <c r="Q16" s="64">
        <f t="shared" si="18"/>
        <v>0</v>
      </c>
      <c r="R16" s="86"/>
      <c r="S16" s="64">
        <f t="shared" si="19"/>
        <v>0</v>
      </c>
      <c r="T16" s="64">
        <f t="shared" si="20"/>
        <v>0</v>
      </c>
      <c r="U16" s="85"/>
      <c r="V16" s="85"/>
      <c r="W16" s="44">
        <f t="shared" si="21"/>
        <v>0</v>
      </c>
      <c r="X16" s="44"/>
      <c r="Y16" s="44"/>
      <c r="Z16" s="44">
        <f t="shared" si="22"/>
        <v>0</v>
      </c>
      <c r="AA16" s="79">
        <f t="shared" si="23"/>
        <v>0</v>
      </c>
      <c r="AB16" s="54"/>
      <c r="AC16" s="34">
        <f t="shared" si="16"/>
        <v>-12000</v>
      </c>
      <c r="AD16" s="54"/>
      <c r="AE16" s="15"/>
      <c r="AF16" s="28" t="s">
        <v>75</v>
      </c>
      <c r="AG16" s="78">
        <f>V21</f>
        <v>0</v>
      </c>
    </row>
    <row r="17" spans="1:42" s="8" customFormat="1" ht="16.5" customHeight="1">
      <c r="A17" s="14">
        <v>12</v>
      </c>
      <c r="B17" s="9"/>
      <c r="C17" s="70"/>
      <c r="D17" s="68"/>
      <c r="E17" s="83"/>
      <c r="F17" s="82"/>
      <c r="G17" s="84">
        <v>2</v>
      </c>
      <c r="H17" s="64">
        <f t="shared" si="17"/>
        <v>0</v>
      </c>
      <c r="I17" s="83"/>
      <c r="J17" s="82"/>
      <c r="K17" s="85"/>
      <c r="L17" s="85"/>
      <c r="M17" s="85"/>
      <c r="N17" s="85"/>
      <c r="O17" s="85"/>
      <c r="P17" s="64"/>
      <c r="Q17" s="64">
        <f t="shared" si="18"/>
        <v>0</v>
      </c>
      <c r="R17" s="86"/>
      <c r="S17" s="64">
        <f t="shared" si="19"/>
        <v>0</v>
      </c>
      <c r="T17" s="64">
        <f t="shared" si="20"/>
        <v>0</v>
      </c>
      <c r="U17" s="85"/>
      <c r="V17" s="85"/>
      <c r="W17" s="44">
        <f t="shared" si="21"/>
        <v>0</v>
      </c>
      <c r="X17" s="44"/>
      <c r="Y17" s="44"/>
      <c r="Z17" s="44">
        <f t="shared" si="22"/>
        <v>0</v>
      </c>
      <c r="AA17" s="79">
        <f t="shared" si="23"/>
        <v>0</v>
      </c>
      <c r="AB17" s="54"/>
      <c r="AC17" s="34">
        <f t="shared" si="16"/>
        <v>-12000</v>
      </c>
      <c r="AD17" s="54"/>
      <c r="AE17" s="15"/>
      <c r="AF17" s="28" t="s">
        <v>63</v>
      </c>
      <c r="AG17" s="78">
        <f>ROUND(Z21,0)</f>
        <v>0</v>
      </c>
    </row>
    <row r="18" spans="1:42" s="8" customFormat="1" ht="16.5" customHeight="1">
      <c r="A18" s="14">
        <v>13</v>
      </c>
      <c r="B18" s="9"/>
      <c r="C18" s="70"/>
      <c r="D18" s="68"/>
      <c r="E18" s="83"/>
      <c r="F18" s="82"/>
      <c r="G18" s="84">
        <v>2</v>
      </c>
      <c r="H18" s="64">
        <f t="shared" si="17"/>
        <v>0</v>
      </c>
      <c r="I18" s="83"/>
      <c r="J18" s="82"/>
      <c r="K18" s="85"/>
      <c r="L18" s="85"/>
      <c r="M18" s="85"/>
      <c r="N18" s="85"/>
      <c r="O18" s="85"/>
      <c r="P18" s="64"/>
      <c r="Q18" s="64">
        <f t="shared" si="18"/>
        <v>0</v>
      </c>
      <c r="R18" s="86"/>
      <c r="S18" s="64">
        <f t="shared" si="19"/>
        <v>0</v>
      </c>
      <c r="T18" s="64">
        <f t="shared" si="20"/>
        <v>0</v>
      </c>
      <c r="U18" s="85"/>
      <c r="V18" s="85"/>
      <c r="W18" s="44">
        <f t="shared" si="21"/>
        <v>0</v>
      </c>
      <c r="X18" s="44"/>
      <c r="Y18" s="44"/>
      <c r="Z18" s="44">
        <f t="shared" si="22"/>
        <v>0</v>
      </c>
      <c r="AA18" s="79">
        <f t="shared" si="23"/>
        <v>0</v>
      </c>
      <c r="AB18" s="54"/>
      <c r="AC18" s="34">
        <f t="shared" si="16"/>
        <v>-12000</v>
      </c>
      <c r="AD18" s="54"/>
      <c r="AE18" s="15"/>
      <c r="AF18" s="12" t="s">
        <v>53</v>
      </c>
      <c r="AG18" s="57">
        <f>SUM(AG4:AG12,AG15,AG16)-AG17</f>
        <v>0</v>
      </c>
    </row>
    <row r="19" spans="1:42" s="8" customFormat="1" ht="16.5" customHeight="1">
      <c r="A19" s="14">
        <v>14</v>
      </c>
      <c r="B19" s="9"/>
      <c r="C19" s="70"/>
      <c r="D19" s="68"/>
      <c r="E19" s="83"/>
      <c r="F19" s="82"/>
      <c r="G19" s="84">
        <v>2</v>
      </c>
      <c r="H19" s="64">
        <f t="shared" si="17"/>
        <v>0</v>
      </c>
      <c r="I19" s="83"/>
      <c r="J19" s="82"/>
      <c r="K19" s="85"/>
      <c r="L19" s="85"/>
      <c r="M19" s="85"/>
      <c r="N19" s="85"/>
      <c r="O19" s="85"/>
      <c r="P19" s="64"/>
      <c r="Q19" s="64">
        <f t="shared" si="18"/>
        <v>0</v>
      </c>
      <c r="R19" s="86"/>
      <c r="S19" s="64">
        <f t="shared" si="19"/>
        <v>0</v>
      </c>
      <c r="T19" s="64">
        <f t="shared" si="20"/>
        <v>0</v>
      </c>
      <c r="U19" s="85"/>
      <c r="V19" s="85"/>
      <c r="W19" s="44">
        <f t="shared" si="21"/>
        <v>0</v>
      </c>
      <c r="X19" s="44"/>
      <c r="Y19" s="44"/>
      <c r="Z19" s="44">
        <f t="shared" si="22"/>
        <v>0</v>
      </c>
      <c r="AA19" s="79">
        <f t="shared" si="23"/>
        <v>0</v>
      </c>
      <c r="AB19" s="54"/>
      <c r="AC19" s="34">
        <f t="shared" si="16"/>
        <v>-12000</v>
      </c>
      <c r="AD19" s="54"/>
      <c r="AE19" s="15"/>
      <c r="AF19" s="108" t="str">
        <f>IF(AG18-AA21=0,"左右一致","与工资发放表（左表）汇总数不一致")</f>
        <v>左右一致</v>
      </c>
      <c r="AG19" s="109"/>
    </row>
    <row r="20" spans="1:42" s="8" customFormat="1" ht="16.5" customHeight="1">
      <c r="A20" s="14">
        <v>15</v>
      </c>
      <c r="B20" s="9" t="s">
        <v>31</v>
      </c>
      <c r="C20" s="49"/>
      <c r="D20" s="68"/>
      <c r="E20" s="50"/>
      <c r="F20" s="82"/>
      <c r="G20" s="45">
        <v>2</v>
      </c>
      <c r="H20" s="46">
        <f t="shared" ref="H20" si="24">(D20+F20)*G20</f>
        <v>0</v>
      </c>
      <c r="I20" s="47"/>
      <c r="J20" s="46"/>
      <c r="K20" s="46"/>
      <c r="L20" s="46"/>
      <c r="M20" s="46"/>
      <c r="N20" s="46"/>
      <c r="O20" s="46"/>
      <c r="P20" s="46"/>
      <c r="Q20" s="46">
        <f t="shared" ref="Q20" si="25">SUM(K20:P20)</f>
        <v>0</v>
      </c>
      <c r="R20" s="48"/>
      <c r="S20" s="46">
        <f t="shared" ref="S20" si="26">SUM(H20,J20,Q20,R20)</f>
        <v>0</v>
      </c>
      <c r="T20" s="46">
        <f t="shared" ref="T20" si="27">ROUND(S20/$AC$2,0)</f>
        <v>0</v>
      </c>
      <c r="U20" s="46"/>
      <c r="V20" s="44"/>
      <c r="W20" s="44">
        <f t="shared" ref="W20" si="28">ROUND(T20+U20+V20,0)</f>
        <v>0</v>
      </c>
      <c r="X20" s="44"/>
      <c r="Y20" s="44"/>
      <c r="Z20" s="44">
        <f t="shared" ref="Z20" si="29">ROUND(X20/$AC$2+Y20,0)</f>
        <v>0</v>
      </c>
      <c r="AA20" s="79">
        <f t="shared" ref="AA20" si="30">W20-Z20</f>
        <v>0</v>
      </c>
      <c r="AB20" s="54"/>
      <c r="AC20" s="34">
        <f t="shared" si="16"/>
        <v>-12000</v>
      </c>
      <c r="AD20" s="54"/>
      <c r="AE20" s="15"/>
      <c r="AF20" s="15"/>
      <c r="AG20" s="15"/>
    </row>
    <row r="21" spans="1:42" s="2" customFormat="1" ht="16.5" customHeight="1">
      <c r="A21" s="12"/>
      <c r="B21" s="4" t="s">
        <v>32</v>
      </c>
      <c r="C21" s="43"/>
      <c r="D21" s="51">
        <f>SUM(D6:D20)</f>
        <v>0</v>
      </c>
      <c r="E21" s="52"/>
      <c r="F21" s="51">
        <f>SUM(F6:F20)</f>
        <v>0</v>
      </c>
      <c r="G21" s="52"/>
      <c r="H21" s="48">
        <f>SUM(H6:H20)</f>
        <v>0</v>
      </c>
      <c r="I21" s="47"/>
      <c r="J21" s="46">
        <f>SUM(J6:J20)</f>
        <v>0</v>
      </c>
      <c r="K21" s="46">
        <f t="shared" ref="K21:AA21" si="31">SUM(K6:K20)</f>
        <v>0</v>
      </c>
      <c r="L21" s="46">
        <f t="shared" si="31"/>
        <v>0</v>
      </c>
      <c r="M21" s="46">
        <f t="shared" si="31"/>
        <v>0</v>
      </c>
      <c r="N21" s="46">
        <f t="shared" si="31"/>
        <v>0</v>
      </c>
      <c r="O21" s="46">
        <f t="shared" si="31"/>
        <v>0</v>
      </c>
      <c r="P21" s="46">
        <f t="shared" si="31"/>
        <v>0</v>
      </c>
      <c r="Q21" s="46">
        <f t="shared" si="31"/>
        <v>0</v>
      </c>
      <c r="R21" s="48">
        <f t="shared" si="31"/>
        <v>0</v>
      </c>
      <c r="S21" s="48">
        <f t="shared" si="31"/>
        <v>0</v>
      </c>
      <c r="T21" s="46">
        <f t="shared" si="31"/>
        <v>0</v>
      </c>
      <c r="U21" s="46">
        <f t="shared" si="31"/>
        <v>0</v>
      </c>
      <c r="V21" s="46">
        <f t="shared" si="31"/>
        <v>0</v>
      </c>
      <c r="W21" s="46">
        <f t="shared" si="31"/>
        <v>0</v>
      </c>
      <c r="X21" s="46">
        <f t="shared" si="31"/>
        <v>0</v>
      </c>
      <c r="Y21" s="46">
        <f t="shared" si="31"/>
        <v>0</v>
      </c>
      <c r="Z21" s="46">
        <f t="shared" si="31"/>
        <v>0</v>
      </c>
      <c r="AA21" s="46">
        <f t="shared" si="31"/>
        <v>0</v>
      </c>
      <c r="AB21" s="54"/>
      <c r="AC21" s="15"/>
      <c r="AD21" s="54"/>
      <c r="AE21" s="15"/>
      <c r="AF21" s="15"/>
      <c r="AG21" s="15"/>
      <c r="AH21" s="8"/>
      <c r="AI21" s="8"/>
      <c r="AJ21" s="8"/>
      <c r="AK21" s="8"/>
      <c r="AL21" s="8"/>
      <c r="AM21" s="8"/>
      <c r="AN21" s="8"/>
      <c r="AO21" s="8"/>
    </row>
    <row r="22" spans="1:42" s="2" customFormat="1">
      <c r="B22" s="17"/>
      <c r="C22" s="17"/>
      <c r="D22" s="17"/>
      <c r="E22" s="18"/>
      <c r="F22" s="19"/>
      <c r="G22" s="19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21"/>
      <c r="S22" s="19"/>
      <c r="T22" s="19"/>
      <c r="U22" s="19"/>
      <c r="V22" s="19"/>
      <c r="W22" s="19"/>
      <c r="X22" s="19"/>
      <c r="Y22" s="19"/>
      <c r="Z22" s="19"/>
      <c r="AA22" s="19"/>
      <c r="AC22" s="15"/>
      <c r="AE22" s="15"/>
      <c r="AF22" s="15"/>
      <c r="AG22" s="15"/>
      <c r="AH22" s="8"/>
      <c r="AI22" s="8"/>
      <c r="AJ22" s="8"/>
      <c r="AK22" s="8"/>
      <c r="AL22" s="8"/>
      <c r="AM22" s="8"/>
      <c r="AN22" s="8"/>
      <c r="AO22" s="8"/>
      <c r="AP22" s="8"/>
    </row>
    <row r="23" spans="1:42" s="2" customFormat="1" ht="12.75" customHeight="1">
      <c r="B23" s="8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22"/>
      <c r="V23" s="22"/>
      <c r="W23" s="22"/>
      <c r="X23" s="23"/>
      <c r="Y23" s="23"/>
      <c r="Z23" s="23"/>
      <c r="AA23" s="23"/>
      <c r="AB23" s="22"/>
      <c r="AC23" s="15"/>
      <c r="AD23" s="22"/>
      <c r="AE23" s="15"/>
      <c r="AF23" s="15"/>
      <c r="AG23" s="15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2" customFormat="1" ht="20.25" customHeight="1">
      <c r="B24" s="8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5"/>
      <c r="AD24" s="15"/>
      <c r="AE24" s="15"/>
      <c r="AF24" s="15"/>
      <c r="AG24" s="15"/>
      <c r="AH24" s="8"/>
      <c r="AI24" s="8"/>
      <c r="AJ24" s="8"/>
      <c r="AK24" s="8"/>
      <c r="AL24" s="8"/>
      <c r="AM24" s="8"/>
      <c r="AN24" s="8"/>
      <c r="AO24" s="8"/>
      <c r="AP24" s="8"/>
    </row>
    <row r="25" spans="1:42" s="2" customFormat="1" ht="18" customHeight="1">
      <c r="B25" s="8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5"/>
      <c r="AD25" s="15"/>
      <c r="AE25" s="15"/>
      <c r="AF25" s="15"/>
      <c r="AG25" s="15"/>
      <c r="AH25" s="8"/>
      <c r="AI25" s="8"/>
      <c r="AJ25" s="8"/>
      <c r="AK25" s="8"/>
      <c r="AL25" s="8"/>
      <c r="AM25" s="8"/>
      <c r="AN25" s="8"/>
      <c r="AO25" s="8"/>
      <c r="AP25" s="8"/>
    </row>
    <row r="26" spans="1:42" s="2" customFormat="1" ht="20.25" customHeight="1">
      <c r="B26" s="15"/>
      <c r="C26" s="15"/>
      <c r="D26" s="15"/>
      <c r="E26" s="63"/>
      <c r="F26" s="63" t="s">
        <v>83</v>
      </c>
      <c r="G26" s="63"/>
      <c r="H26" s="63"/>
      <c r="I26" s="25"/>
      <c r="J26" s="24"/>
      <c r="K26" s="24"/>
      <c r="L26" s="24"/>
      <c r="M26" s="24"/>
      <c r="N26" s="24"/>
      <c r="O26" s="24"/>
      <c r="P26" s="24"/>
      <c r="Q26" s="63"/>
      <c r="R26" s="63" t="s">
        <v>70</v>
      </c>
      <c r="S26" s="15"/>
      <c r="T26" s="2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G26" s="3"/>
      <c r="AH26" s="8"/>
      <c r="AI26" s="8"/>
      <c r="AJ26" s="8"/>
      <c r="AK26" s="8"/>
      <c r="AL26" s="8"/>
      <c r="AM26" s="8"/>
      <c r="AN26" s="8"/>
      <c r="AO26" s="8"/>
      <c r="AP26" s="8"/>
    </row>
    <row r="27" spans="1:42" s="1" customFormat="1" ht="20.25" customHeight="1">
      <c r="B27" s="15"/>
      <c r="C27" s="15"/>
      <c r="D27" s="15"/>
      <c r="E27" s="15"/>
      <c r="F27" s="24"/>
      <c r="G27" s="24"/>
      <c r="H27" s="24"/>
      <c r="I27" s="25"/>
      <c r="J27" s="24"/>
      <c r="K27" s="24"/>
      <c r="L27" s="24"/>
      <c r="M27" s="24"/>
      <c r="N27" s="24"/>
      <c r="O27" s="24"/>
      <c r="P27" s="24"/>
      <c r="Q27" s="24"/>
      <c r="R27" s="24"/>
      <c r="S27" s="15"/>
      <c r="T27" s="26"/>
      <c r="U27" s="15"/>
      <c r="V27" s="15"/>
      <c r="W27" s="15"/>
      <c r="X27" s="15"/>
      <c r="Y27" s="15"/>
      <c r="Z27" s="15"/>
      <c r="AA27" s="15"/>
      <c r="AB27" s="15"/>
      <c r="AD27" s="15"/>
      <c r="AF27" s="15"/>
      <c r="AG27" s="15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1.25" customHeight="1">
      <c r="AH28" s="8"/>
      <c r="AI28" s="8"/>
      <c r="AJ28" s="8"/>
      <c r="AK28" s="8"/>
      <c r="AL28" s="8"/>
      <c r="AM28" s="8"/>
      <c r="AN28" s="8"/>
      <c r="AO28" s="8"/>
      <c r="AP28" s="8"/>
    </row>
    <row r="29" spans="1:42">
      <c r="AH29" s="8"/>
      <c r="AI29" s="8"/>
      <c r="AJ29" s="8"/>
      <c r="AK29" s="8"/>
      <c r="AL29" s="8"/>
      <c r="AM29" s="8"/>
      <c r="AN29" s="8"/>
      <c r="AO29" s="8"/>
      <c r="AP29" s="8"/>
    </row>
    <row r="30" spans="1:42">
      <c r="AH30" s="8"/>
      <c r="AI30" s="8"/>
      <c r="AJ30" s="8"/>
      <c r="AK30" s="8"/>
      <c r="AL30" s="8"/>
      <c r="AM30" s="8"/>
      <c r="AN30" s="8"/>
      <c r="AO30" s="8"/>
      <c r="AP30" s="8"/>
    </row>
    <row r="31" spans="1:42">
      <c r="AH31" s="8"/>
      <c r="AI31" s="8"/>
      <c r="AJ31" s="8"/>
      <c r="AK31" s="8"/>
      <c r="AL31" s="8"/>
      <c r="AM31" s="8"/>
      <c r="AN31" s="8"/>
      <c r="AO31" s="8"/>
      <c r="AP31" s="8"/>
    </row>
    <row r="32" spans="1:42">
      <c r="AH32" s="8"/>
      <c r="AI32" s="8"/>
      <c r="AJ32" s="8"/>
      <c r="AK32" s="8"/>
      <c r="AL32" s="8"/>
      <c r="AM32" s="8"/>
      <c r="AN32" s="8"/>
      <c r="AO32" s="8"/>
      <c r="AP32" s="8"/>
    </row>
    <row r="33" spans="34:42">
      <c r="AH33" s="8"/>
      <c r="AI33" s="8"/>
      <c r="AJ33" s="8"/>
      <c r="AK33" s="8"/>
      <c r="AL33" s="8"/>
      <c r="AM33" s="8"/>
      <c r="AN33" s="8"/>
      <c r="AO33" s="8"/>
      <c r="AP33" s="8"/>
    </row>
    <row r="34" spans="34:42" ht="12" customHeight="1">
      <c r="AH34" s="8"/>
      <c r="AI34" s="8"/>
      <c r="AJ34" s="8"/>
      <c r="AK34" s="8"/>
      <c r="AL34" s="8"/>
      <c r="AM34" s="8"/>
      <c r="AN34" s="8"/>
      <c r="AO34" s="8"/>
      <c r="AP34" s="8"/>
    </row>
    <row r="35" spans="34:42" ht="11.25" customHeight="1">
      <c r="AH35" s="8"/>
      <c r="AI35" s="8"/>
      <c r="AJ35" s="8"/>
      <c r="AK35" s="8"/>
      <c r="AL35" s="8"/>
      <c r="AM35" s="8"/>
      <c r="AN35" s="8"/>
      <c r="AO35" s="8"/>
      <c r="AP35" s="8"/>
    </row>
    <row r="36" spans="34:42" ht="11.25" customHeight="1">
      <c r="AH36" s="8"/>
      <c r="AI36" s="8"/>
      <c r="AJ36" s="8"/>
      <c r="AK36" s="8"/>
      <c r="AL36" s="8"/>
      <c r="AM36" s="8"/>
      <c r="AN36" s="8"/>
      <c r="AO36" s="8"/>
      <c r="AP36" s="8"/>
    </row>
    <row r="37" spans="34:42" ht="11.25" customHeight="1">
      <c r="AH37" s="8"/>
      <c r="AI37" s="8"/>
      <c r="AJ37" s="8"/>
      <c r="AK37" s="8"/>
      <c r="AL37" s="8"/>
      <c r="AM37" s="8"/>
      <c r="AN37" s="8"/>
      <c r="AO37" s="8"/>
      <c r="AP37" s="8"/>
    </row>
    <row r="38" spans="34:42" ht="11.25" customHeight="1">
      <c r="AH38" s="8"/>
      <c r="AI38" s="8"/>
      <c r="AJ38" s="8"/>
      <c r="AK38" s="8"/>
      <c r="AL38" s="8"/>
      <c r="AM38" s="8"/>
      <c r="AN38" s="8"/>
      <c r="AO38" s="8"/>
      <c r="AP38" s="8"/>
    </row>
    <row r="39" spans="34:42" ht="11.25" customHeight="1">
      <c r="AH39" s="8"/>
      <c r="AI39" s="8"/>
      <c r="AJ39" s="8"/>
      <c r="AK39" s="8"/>
      <c r="AL39" s="8"/>
      <c r="AM39" s="8"/>
      <c r="AN39" s="8"/>
      <c r="AO39" s="8"/>
      <c r="AP39" s="8"/>
    </row>
    <row r="40" spans="34:42" ht="11.25" customHeight="1">
      <c r="AH40" s="8"/>
      <c r="AI40" s="8"/>
      <c r="AJ40" s="8"/>
      <c r="AK40" s="8"/>
      <c r="AL40" s="8"/>
      <c r="AM40" s="8"/>
      <c r="AN40" s="8"/>
      <c r="AO40" s="8"/>
      <c r="AP40" s="8"/>
    </row>
    <row r="41" spans="34:42">
      <c r="AH41" s="8"/>
      <c r="AI41" s="8"/>
      <c r="AJ41" s="8"/>
      <c r="AK41" s="8"/>
      <c r="AL41" s="8"/>
      <c r="AM41" s="8"/>
      <c r="AN41" s="8"/>
      <c r="AO41" s="8"/>
      <c r="AP41" s="2"/>
    </row>
    <row r="42" spans="34:42">
      <c r="AH42" s="8"/>
    </row>
    <row r="43" spans="34:42">
      <c r="AH43" s="8"/>
    </row>
  </sheetData>
  <mergeCells count="28">
    <mergeCell ref="AA3:AA5"/>
    <mergeCell ref="AB3:AB5"/>
    <mergeCell ref="A1:AB1"/>
    <mergeCell ref="A2:AB2"/>
    <mergeCell ref="A3:A5"/>
    <mergeCell ref="B3:B5"/>
    <mergeCell ref="C3:H3"/>
    <mergeCell ref="I3:I5"/>
    <mergeCell ref="J3:J5"/>
    <mergeCell ref="K3:Q3"/>
    <mergeCell ref="R3:R5"/>
    <mergeCell ref="S3:T4"/>
    <mergeCell ref="AD3:AD5"/>
    <mergeCell ref="AF19:AG19"/>
    <mergeCell ref="C23:T23"/>
    <mergeCell ref="C24:AB24"/>
    <mergeCell ref="C25:AB25"/>
    <mergeCell ref="AC3:AC5"/>
    <mergeCell ref="C4:F4"/>
    <mergeCell ref="G4:G5"/>
    <mergeCell ref="H4:H5"/>
    <mergeCell ref="K4:N4"/>
    <mergeCell ref="O4:P4"/>
    <mergeCell ref="Q4:Q5"/>
    <mergeCell ref="U3:U5"/>
    <mergeCell ref="V3:V5"/>
    <mergeCell ref="W3:W5"/>
    <mergeCell ref="X3:Z4"/>
  </mergeCells>
  <conditionalFormatting sqref="AC6:AC20">
    <cfRule type="cellIs" dxfId="10" priority="1" operator="lessThan">
      <formula>0</formula>
    </cfRule>
  </conditionalFormatting>
  <conditionalFormatting sqref="AF19:AG19">
    <cfRule type="containsText" dxfId="9" priority="2" operator="containsText" text="不一致">
      <formula>NOT(ISERROR(SEARCH("不一致",AF19)))</formula>
    </cfRule>
    <cfRule type="containsText" dxfId="8" priority="3" operator="containsText" text="&quot;与工资发放表（左表）汇总数不一致&quot;">
      <formula>NOT(ISERROR(SEARCH("""与工资发放表（左表）汇总数不一致""",AF19)))</formula>
    </cfRule>
    <cfRule type="cellIs" dxfId="7" priority="4" operator="equal">
      <formula>"“与工资发放表（左表）汇总数不一致”"</formula>
    </cfRule>
  </conditionalFormatting>
  <conditionalFormatting sqref="AG18">
    <cfRule type="cellIs" dxfId="6" priority="5" operator="equal">
      <formula>$AA$21</formula>
    </cfRule>
  </conditionalFormatting>
  <hyperlinks>
    <hyperlink ref="AD6" r:id="rId1" xr:uid="{50935B96-D1F1-453C-8FE9-2F245DFF6284}"/>
    <hyperlink ref="AD7" r:id="rId2" xr:uid="{20D6331E-2829-4ABA-825D-3C2262902173}"/>
    <hyperlink ref="AD8" r:id="rId3" xr:uid="{2C8611C5-7D34-4896-A509-6AD3E86360FA}"/>
    <hyperlink ref="AD9" r:id="rId4" xr:uid="{E2A0A18E-D58C-4550-BD05-9D341B50C8EF}"/>
  </hyperlinks>
  <printOptions horizontalCentered="1"/>
  <pageMargins left="0.23622047244094491" right="0.31496062992125984" top="0.94488188976377963" bottom="0.19685039370078741" header="0.19685039370078741" footer="0.27559055118110237"/>
  <pageSetup paperSize="9" scale="70" firstPageNumber="4294963191" orientation="landscape" r:id="rId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E5DA-E0CE-4DBB-9BAC-CF5FC6973640}">
  <sheetPr>
    <pageSetUpPr fitToPage="1"/>
  </sheetPr>
  <dimension ref="A1:AH25"/>
  <sheetViews>
    <sheetView zoomScale="85" zoomScaleNormal="85" workbookViewId="0">
      <selection activeCell="U16" sqref="U16"/>
    </sheetView>
  </sheetViews>
  <sheetFormatPr baseColWidth="10" defaultColWidth="10" defaultRowHeight="13"/>
  <cols>
    <col min="1" max="1" width="3.83203125" style="26" customWidth="1"/>
    <col min="2" max="2" width="14.6640625" style="15" customWidth="1"/>
    <col min="3" max="3" width="8.33203125" style="15" customWidth="1"/>
    <col min="4" max="4" width="7.33203125" style="15" customWidth="1"/>
    <col min="5" max="5" width="8.6640625" style="24" customWidth="1"/>
    <col min="6" max="6" width="8.5" style="24" customWidth="1"/>
    <col min="7" max="7" width="7.33203125" style="24" customWidth="1"/>
    <col min="8" max="8" width="9" style="25" customWidth="1"/>
    <col min="9" max="9" width="7" style="24" customWidth="1"/>
    <col min="10" max="10" width="7.83203125" style="24" customWidth="1"/>
    <col min="11" max="11" width="7" style="24" customWidth="1"/>
    <col min="12" max="13" width="8.5" style="24" customWidth="1"/>
    <col min="14" max="14" width="9.5" style="24" customWidth="1"/>
    <col min="15" max="15" width="8.5" style="24" customWidth="1"/>
    <col min="16" max="16" width="8.33203125" style="24" customWidth="1"/>
    <col min="17" max="17" width="7.6640625" style="15" customWidth="1"/>
    <col min="18" max="18" width="8" style="26" customWidth="1"/>
    <col min="19" max="19" width="7.6640625" style="15" customWidth="1"/>
    <col min="20" max="20" width="10.33203125" style="15" customWidth="1"/>
    <col min="21" max="21" width="29.33203125" style="15" customWidth="1"/>
    <col min="22" max="22" width="25" style="15" customWidth="1"/>
    <col min="23" max="23" width="9" style="15" customWidth="1"/>
    <col min="24" max="24" width="24.5" style="15" customWidth="1"/>
    <col min="25" max="25" width="17" style="15" customWidth="1"/>
    <col min="26" max="26" width="9.33203125" style="15" customWidth="1"/>
    <col min="27" max="32" width="7.83203125" style="15" customWidth="1"/>
    <col min="33" max="33" width="10" style="15"/>
    <col min="34" max="34" width="21.33203125" style="15" customWidth="1"/>
    <col min="35" max="258" width="10" style="15"/>
    <col min="259" max="259" width="7.6640625" style="15" customWidth="1"/>
    <col min="260" max="260" width="4.33203125" style="15" customWidth="1"/>
    <col min="261" max="262" width="6.83203125" style="15" customWidth="1"/>
    <col min="263" max="263" width="6.33203125" style="15" customWidth="1"/>
    <col min="264" max="264" width="9" style="15" customWidth="1"/>
    <col min="265" max="267" width="8.33203125" style="15" customWidth="1"/>
    <col min="268" max="268" width="7.6640625" style="15" customWidth="1"/>
    <col min="269" max="269" width="8.83203125" style="15" customWidth="1"/>
    <col min="270" max="270" width="10.33203125" style="15" customWidth="1"/>
    <col min="271" max="273" width="9.33203125" style="15" customWidth="1"/>
    <col min="274" max="274" width="15.6640625" style="15" customWidth="1"/>
    <col min="275" max="275" width="12.6640625" style="15" customWidth="1"/>
    <col min="276" max="514" width="10" style="15"/>
    <col min="515" max="515" width="7.6640625" style="15" customWidth="1"/>
    <col min="516" max="516" width="4.33203125" style="15" customWidth="1"/>
    <col min="517" max="518" width="6.83203125" style="15" customWidth="1"/>
    <col min="519" max="519" width="6.33203125" style="15" customWidth="1"/>
    <col min="520" max="520" width="9" style="15" customWidth="1"/>
    <col min="521" max="523" width="8.33203125" style="15" customWidth="1"/>
    <col min="524" max="524" width="7.6640625" style="15" customWidth="1"/>
    <col min="525" max="525" width="8.83203125" style="15" customWidth="1"/>
    <col min="526" max="526" width="10.33203125" style="15" customWidth="1"/>
    <col min="527" max="529" width="9.33203125" style="15" customWidth="1"/>
    <col min="530" max="530" width="15.6640625" style="15" customWidth="1"/>
    <col min="531" max="531" width="12.6640625" style="15" customWidth="1"/>
    <col min="532" max="770" width="10" style="15"/>
    <col min="771" max="771" width="7.6640625" style="15" customWidth="1"/>
    <col min="772" max="772" width="4.33203125" style="15" customWidth="1"/>
    <col min="773" max="774" width="6.83203125" style="15" customWidth="1"/>
    <col min="775" max="775" width="6.33203125" style="15" customWidth="1"/>
    <col min="776" max="776" width="9" style="15" customWidth="1"/>
    <col min="777" max="779" width="8.33203125" style="15" customWidth="1"/>
    <col min="780" max="780" width="7.6640625" style="15" customWidth="1"/>
    <col min="781" max="781" width="8.83203125" style="15" customWidth="1"/>
    <col min="782" max="782" width="10.33203125" style="15" customWidth="1"/>
    <col min="783" max="785" width="9.33203125" style="15" customWidth="1"/>
    <col min="786" max="786" width="15.6640625" style="15" customWidth="1"/>
    <col min="787" max="787" width="12.6640625" style="15" customWidth="1"/>
    <col min="788" max="1026" width="10" style="15"/>
    <col min="1027" max="1027" width="7.6640625" style="15" customWidth="1"/>
    <col min="1028" max="1028" width="4.33203125" style="15" customWidth="1"/>
    <col min="1029" max="1030" width="6.83203125" style="15" customWidth="1"/>
    <col min="1031" max="1031" width="6.33203125" style="15" customWidth="1"/>
    <col min="1032" max="1032" width="9" style="15" customWidth="1"/>
    <col min="1033" max="1035" width="8.33203125" style="15" customWidth="1"/>
    <col min="1036" max="1036" width="7.6640625" style="15" customWidth="1"/>
    <col min="1037" max="1037" width="8.83203125" style="15" customWidth="1"/>
    <col min="1038" max="1038" width="10.33203125" style="15" customWidth="1"/>
    <col min="1039" max="1041" width="9.33203125" style="15" customWidth="1"/>
    <col min="1042" max="1042" width="15.6640625" style="15" customWidth="1"/>
    <col min="1043" max="1043" width="12.6640625" style="15" customWidth="1"/>
    <col min="1044" max="1282" width="10" style="15"/>
    <col min="1283" max="1283" width="7.6640625" style="15" customWidth="1"/>
    <col min="1284" max="1284" width="4.33203125" style="15" customWidth="1"/>
    <col min="1285" max="1286" width="6.83203125" style="15" customWidth="1"/>
    <col min="1287" max="1287" width="6.33203125" style="15" customWidth="1"/>
    <col min="1288" max="1288" width="9" style="15" customWidth="1"/>
    <col min="1289" max="1291" width="8.33203125" style="15" customWidth="1"/>
    <col min="1292" max="1292" width="7.6640625" style="15" customWidth="1"/>
    <col min="1293" max="1293" width="8.83203125" style="15" customWidth="1"/>
    <col min="1294" max="1294" width="10.33203125" style="15" customWidth="1"/>
    <col min="1295" max="1297" width="9.33203125" style="15" customWidth="1"/>
    <col min="1298" max="1298" width="15.6640625" style="15" customWidth="1"/>
    <col min="1299" max="1299" width="12.6640625" style="15" customWidth="1"/>
    <col min="1300" max="1538" width="10" style="15"/>
    <col min="1539" max="1539" width="7.6640625" style="15" customWidth="1"/>
    <col min="1540" max="1540" width="4.33203125" style="15" customWidth="1"/>
    <col min="1541" max="1542" width="6.83203125" style="15" customWidth="1"/>
    <col min="1543" max="1543" width="6.33203125" style="15" customWidth="1"/>
    <col min="1544" max="1544" width="9" style="15" customWidth="1"/>
    <col min="1545" max="1547" width="8.33203125" style="15" customWidth="1"/>
    <col min="1548" max="1548" width="7.6640625" style="15" customWidth="1"/>
    <col min="1549" max="1549" width="8.83203125" style="15" customWidth="1"/>
    <col min="1550" max="1550" width="10.33203125" style="15" customWidth="1"/>
    <col min="1551" max="1553" width="9.33203125" style="15" customWidth="1"/>
    <col min="1554" max="1554" width="15.6640625" style="15" customWidth="1"/>
    <col min="1555" max="1555" width="12.6640625" style="15" customWidth="1"/>
    <col min="1556" max="1794" width="10" style="15"/>
    <col min="1795" max="1795" width="7.6640625" style="15" customWidth="1"/>
    <col min="1796" max="1796" width="4.33203125" style="15" customWidth="1"/>
    <col min="1797" max="1798" width="6.83203125" style="15" customWidth="1"/>
    <col min="1799" max="1799" width="6.33203125" style="15" customWidth="1"/>
    <col min="1800" max="1800" width="9" style="15" customWidth="1"/>
    <col min="1801" max="1803" width="8.33203125" style="15" customWidth="1"/>
    <col min="1804" max="1804" width="7.6640625" style="15" customWidth="1"/>
    <col min="1805" max="1805" width="8.83203125" style="15" customWidth="1"/>
    <col min="1806" max="1806" width="10.33203125" style="15" customWidth="1"/>
    <col min="1807" max="1809" width="9.33203125" style="15" customWidth="1"/>
    <col min="1810" max="1810" width="15.6640625" style="15" customWidth="1"/>
    <col min="1811" max="1811" width="12.6640625" style="15" customWidth="1"/>
    <col min="1812" max="2050" width="10" style="15"/>
    <col min="2051" max="2051" width="7.6640625" style="15" customWidth="1"/>
    <col min="2052" max="2052" width="4.33203125" style="15" customWidth="1"/>
    <col min="2053" max="2054" width="6.83203125" style="15" customWidth="1"/>
    <col min="2055" max="2055" width="6.33203125" style="15" customWidth="1"/>
    <col min="2056" max="2056" width="9" style="15" customWidth="1"/>
    <col min="2057" max="2059" width="8.33203125" style="15" customWidth="1"/>
    <col min="2060" max="2060" width="7.6640625" style="15" customWidth="1"/>
    <col min="2061" max="2061" width="8.83203125" style="15" customWidth="1"/>
    <col min="2062" max="2062" width="10.33203125" style="15" customWidth="1"/>
    <col min="2063" max="2065" width="9.33203125" style="15" customWidth="1"/>
    <col min="2066" max="2066" width="15.6640625" style="15" customWidth="1"/>
    <col min="2067" max="2067" width="12.6640625" style="15" customWidth="1"/>
    <col min="2068" max="2306" width="10" style="15"/>
    <col min="2307" max="2307" width="7.6640625" style="15" customWidth="1"/>
    <col min="2308" max="2308" width="4.33203125" style="15" customWidth="1"/>
    <col min="2309" max="2310" width="6.83203125" style="15" customWidth="1"/>
    <col min="2311" max="2311" width="6.33203125" style="15" customWidth="1"/>
    <col min="2312" max="2312" width="9" style="15" customWidth="1"/>
    <col min="2313" max="2315" width="8.33203125" style="15" customWidth="1"/>
    <col min="2316" max="2316" width="7.6640625" style="15" customWidth="1"/>
    <col min="2317" max="2317" width="8.83203125" style="15" customWidth="1"/>
    <col min="2318" max="2318" width="10.33203125" style="15" customWidth="1"/>
    <col min="2319" max="2321" width="9.33203125" style="15" customWidth="1"/>
    <col min="2322" max="2322" width="15.6640625" style="15" customWidth="1"/>
    <col min="2323" max="2323" width="12.6640625" style="15" customWidth="1"/>
    <col min="2324" max="2562" width="10" style="15"/>
    <col min="2563" max="2563" width="7.6640625" style="15" customWidth="1"/>
    <col min="2564" max="2564" width="4.33203125" style="15" customWidth="1"/>
    <col min="2565" max="2566" width="6.83203125" style="15" customWidth="1"/>
    <col min="2567" max="2567" width="6.33203125" style="15" customWidth="1"/>
    <col min="2568" max="2568" width="9" style="15" customWidth="1"/>
    <col min="2569" max="2571" width="8.33203125" style="15" customWidth="1"/>
    <col min="2572" max="2572" width="7.6640625" style="15" customWidth="1"/>
    <col min="2573" max="2573" width="8.83203125" style="15" customWidth="1"/>
    <col min="2574" max="2574" width="10.33203125" style="15" customWidth="1"/>
    <col min="2575" max="2577" width="9.33203125" style="15" customWidth="1"/>
    <col min="2578" max="2578" width="15.6640625" style="15" customWidth="1"/>
    <col min="2579" max="2579" width="12.6640625" style="15" customWidth="1"/>
    <col min="2580" max="2818" width="10" style="15"/>
    <col min="2819" max="2819" width="7.6640625" style="15" customWidth="1"/>
    <col min="2820" max="2820" width="4.33203125" style="15" customWidth="1"/>
    <col min="2821" max="2822" width="6.83203125" style="15" customWidth="1"/>
    <col min="2823" max="2823" width="6.33203125" style="15" customWidth="1"/>
    <col min="2824" max="2824" width="9" style="15" customWidth="1"/>
    <col min="2825" max="2827" width="8.33203125" style="15" customWidth="1"/>
    <col min="2828" max="2828" width="7.6640625" style="15" customWidth="1"/>
    <col min="2829" max="2829" width="8.83203125" style="15" customWidth="1"/>
    <col min="2830" max="2830" width="10.33203125" style="15" customWidth="1"/>
    <col min="2831" max="2833" width="9.33203125" style="15" customWidth="1"/>
    <col min="2834" max="2834" width="15.6640625" style="15" customWidth="1"/>
    <col min="2835" max="2835" width="12.6640625" style="15" customWidth="1"/>
    <col min="2836" max="3074" width="10" style="15"/>
    <col min="3075" max="3075" width="7.6640625" style="15" customWidth="1"/>
    <col min="3076" max="3076" width="4.33203125" style="15" customWidth="1"/>
    <col min="3077" max="3078" width="6.83203125" style="15" customWidth="1"/>
    <col min="3079" max="3079" width="6.33203125" style="15" customWidth="1"/>
    <col min="3080" max="3080" width="9" style="15" customWidth="1"/>
    <col min="3081" max="3083" width="8.33203125" style="15" customWidth="1"/>
    <col min="3084" max="3084" width="7.6640625" style="15" customWidth="1"/>
    <col min="3085" max="3085" width="8.83203125" style="15" customWidth="1"/>
    <col min="3086" max="3086" width="10.33203125" style="15" customWidth="1"/>
    <col min="3087" max="3089" width="9.33203125" style="15" customWidth="1"/>
    <col min="3090" max="3090" width="15.6640625" style="15" customWidth="1"/>
    <col min="3091" max="3091" width="12.6640625" style="15" customWidth="1"/>
    <col min="3092" max="3330" width="10" style="15"/>
    <col min="3331" max="3331" width="7.6640625" style="15" customWidth="1"/>
    <col min="3332" max="3332" width="4.33203125" style="15" customWidth="1"/>
    <col min="3333" max="3334" width="6.83203125" style="15" customWidth="1"/>
    <col min="3335" max="3335" width="6.33203125" style="15" customWidth="1"/>
    <col min="3336" max="3336" width="9" style="15" customWidth="1"/>
    <col min="3337" max="3339" width="8.33203125" style="15" customWidth="1"/>
    <col min="3340" max="3340" width="7.6640625" style="15" customWidth="1"/>
    <col min="3341" max="3341" width="8.83203125" style="15" customWidth="1"/>
    <col min="3342" max="3342" width="10.33203125" style="15" customWidth="1"/>
    <col min="3343" max="3345" width="9.33203125" style="15" customWidth="1"/>
    <col min="3346" max="3346" width="15.6640625" style="15" customWidth="1"/>
    <col min="3347" max="3347" width="12.6640625" style="15" customWidth="1"/>
    <col min="3348" max="3586" width="10" style="15"/>
    <col min="3587" max="3587" width="7.6640625" style="15" customWidth="1"/>
    <col min="3588" max="3588" width="4.33203125" style="15" customWidth="1"/>
    <col min="3589" max="3590" width="6.83203125" style="15" customWidth="1"/>
    <col min="3591" max="3591" width="6.33203125" style="15" customWidth="1"/>
    <col min="3592" max="3592" width="9" style="15" customWidth="1"/>
    <col min="3593" max="3595" width="8.33203125" style="15" customWidth="1"/>
    <col min="3596" max="3596" width="7.6640625" style="15" customWidth="1"/>
    <col min="3597" max="3597" width="8.83203125" style="15" customWidth="1"/>
    <col min="3598" max="3598" width="10.33203125" style="15" customWidth="1"/>
    <col min="3599" max="3601" width="9.33203125" style="15" customWidth="1"/>
    <col min="3602" max="3602" width="15.6640625" style="15" customWidth="1"/>
    <col min="3603" max="3603" width="12.6640625" style="15" customWidth="1"/>
    <col min="3604" max="3842" width="10" style="15"/>
    <col min="3843" max="3843" width="7.6640625" style="15" customWidth="1"/>
    <col min="3844" max="3844" width="4.33203125" style="15" customWidth="1"/>
    <col min="3845" max="3846" width="6.83203125" style="15" customWidth="1"/>
    <col min="3847" max="3847" width="6.33203125" style="15" customWidth="1"/>
    <col min="3848" max="3848" width="9" style="15" customWidth="1"/>
    <col min="3849" max="3851" width="8.33203125" style="15" customWidth="1"/>
    <col min="3852" max="3852" width="7.6640625" style="15" customWidth="1"/>
    <col min="3853" max="3853" width="8.83203125" style="15" customWidth="1"/>
    <col min="3854" max="3854" width="10.33203125" style="15" customWidth="1"/>
    <col min="3855" max="3857" width="9.33203125" style="15" customWidth="1"/>
    <col min="3858" max="3858" width="15.6640625" style="15" customWidth="1"/>
    <col min="3859" max="3859" width="12.6640625" style="15" customWidth="1"/>
    <col min="3860" max="4098" width="10" style="15"/>
    <col min="4099" max="4099" width="7.6640625" style="15" customWidth="1"/>
    <col min="4100" max="4100" width="4.33203125" style="15" customWidth="1"/>
    <col min="4101" max="4102" width="6.83203125" style="15" customWidth="1"/>
    <col min="4103" max="4103" width="6.33203125" style="15" customWidth="1"/>
    <col min="4104" max="4104" width="9" style="15" customWidth="1"/>
    <col min="4105" max="4107" width="8.33203125" style="15" customWidth="1"/>
    <col min="4108" max="4108" width="7.6640625" style="15" customWidth="1"/>
    <col min="4109" max="4109" width="8.83203125" style="15" customWidth="1"/>
    <col min="4110" max="4110" width="10.33203125" style="15" customWidth="1"/>
    <col min="4111" max="4113" width="9.33203125" style="15" customWidth="1"/>
    <col min="4114" max="4114" width="15.6640625" style="15" customWidth="1"/>
    <col min="4115" max="4115" width="12.6640625" style="15" customWidth="1"/>
    <col min="4116" max="4354" width="10" style="15"/>
    <col min="4355" max="4355" width="7.6640625" style="15" customWidth="1"/>
    <col min="4356" max="4356" width="4.33203125" style="15" customWidth="1"/>
    <col min="4357" max="4358" width="6.83203125" style="15" customWidth="1"/>
    <col min="4359" max="4359" width="6.33203125" style="15" customWidth="1"/>
    <col min="4360" max="4360" width="9" style="15" customWidth="1"/>
    <col min="4361" max="4363" width="8.33203125" style="15" customWidth="1"/>
    <col min="4364" max="4364" width="7.6640625" style="15" customWidth="1"/>
    <col min="4365" max="4365" width="8.83203125" style="15" customWidth="1"/>
    <col min="4366" max="4366" width="10.33203125" style="15" customWidth="1"/>
    <col min="4367" max="4369" width="9.33203125" style="15" customWidth="1"/>
    <col min="4370" max="4370" width="15.6640625" style="15" customWidth="1"/>
    <col min="4371" max="4371" width="12.6640625" style="15" customWidth="1"/>
    <col min="4372" max="4610" width="10" style="15"/>
    <col min="4611" max="4611" width="7.6640625" style="15" customWidth="1"/>
    <col min="4612" max="4612" width="4.33203125" style="15" customWidth="1"/>
    <col min="4613" max="4614" width="6.83203125" style="15" customWidth="1"/>
    <col min="4615" max="4615" width="6.33203125" style="15" customWidth="1"/>
    <col min="4616" max="4616" width="9" style="15" customWidth="1"/>
    <col min="4617" max="4619" width="8.33203125" style="15" customWidth="1"/>
    <col min="4620" max="4620" width="7.6640625" style="15" customWidth="1"/>
    <col min="4621" max="4621" width="8.83203125" style="15" customWidth="1"/>
    <col min="4622" max="4622" width="10.33203125" style="15" customWidth="1"/>
    <col min="4623" max="4625" width="9.33203125" style="15" customWidth="1"/>
    <col min="4626" max="4626" width="15.6640625" style="15" customWidth="1"/>
    <col min="4627" max="4627" width="12.6640625" style="15" customWidth="1"/>
    <col min="4628" max="4866" width="10" style="15"/>
    <col min="4867" max="4867" width="7.6640625" style="15" customWidth="1"/>
    <col min="4868" max="4868" width="4.33203125" style="15" customWidth="1"/>
    <col min="4869" max="4870" width="6.83203125" style="15" customWidth="1"/>
    <col min="4871" max="4871" width="6.33203125" style="15" customWidth="1"/>
    <col min="4872" max="4872" width="9" style="15" customWidth="1"/>
    <col min="4873" max="4875" width="8.33203125" style="15" customWidth="1"/>
    <col min="4876" max="4876" width="7.6640625" style="15" customWidth="1"/>
    <col min="4877" max="4877" width="8.83203125" style="15" customWidth="1"/>
    <col min="4878" max="4878" width="10.33203125" style="15" customWidth="1"/>
    <col min="4879" max="4881" width="9.33203125" style="15" customWidth="1"/>
    <col min="4882" max="4882" width="15.6640625" style="15" customWidth="1"/>
    <col min="4883" max="4883" width="12.6640625" style="15" customWidth="1"/>
    <col min="4884" max="5122" width="10" style="15"/>
    <col min="5123" max="5123" width="7.6640625" style="15" customWidth="1"/>
    <col min="5124" max="5124" width="4.33203125" style="15" customWidth="1"/>
    <col min="5125" max="5126" width="6.83203125" style="15" customWidth="1"/>
    <col min="5127" max="5127" width="6.33203125" style="15" customWidth="1"/>
    <col min="5128" max="5128" width="9" style="15" customWidth="1"/>
    <col min="5129" max="5131" width="8.33203125" style="15" customWidth="1"/>
    <col min="5132" max="5132" width="7.6640625" style="15" customWidth="1"/>
    <col min="5133" max="5133" width="8.83203125" style="15" customWidth="1"/>
    <col min="5134" max="5134" width="10.33203125" style="15" customWidth="1"/>
    <col min="5135" max="5137" width="9.33203125" style="15" customWidth="1"/>
    <col min="5138" max="5138" width="15.6640625" style="15" customWidth="1"/>
    <col min="5139" max="5139" width="12.6640625" style="15" customWidth="1"/>
    <col min="5140" max="5378" width="10" style="15"/>
    <col min="5379" max="5379" width="7.6640625" style="15" customWidth="1"/>
    <col min="5380" max="5380" width="4.33203125" style="15" customWidth="1"/>
    <col min="5381" max="5382" width="6.83203125" style="15" customWidth="1"/>
    <col min="5383" max="5383" width="6.33203125" style="15" customWidth="1"/>
    <col min="5384" max="5384" width="9" style="15" customWidth="1"/>
    <col min="5385" max="5387" width="8.33203125" style="15" customWidth="1"/>
    <col min="5388" max="5388" width="7.6640625" style="15" customWidth="1"/>
    <col min="5389" max="5389" width="8.83203125" style="15" customWidth="1"/>
    <col min="5390" max="5390" width="10.33203125" style="15" customWidth="1"/>
    <col min="5391" max="5393" width="9.33203125" style="15" customWidth="1"/>
    <col min="5394" max="5394" width="15.6640625" style="15" customWidth="1"/>
    <col min="5395" max="5395" width="12.6640625" style="15" customWidth="1"/>
    <col min="5396" max="5634" width="10" style="15"/>
    <col min="5635" max="5635" width="7.6640625" style="15" customWidth="1"/>
    <col min="5636" max="5636" width="4.33203125" style="15" customWidth="1"/>
    <col min="5637" max="5638" width="6.83203125" style="15" customWidth="1"/>
    <col min="5639" max="5639" width="6.33203125" style="15" customWidth="1"/>
    <col min="5640" max="5640" width="9" style="15" customWidth="1"/>
    <col min="5641" max="5643" width="8.33203125" style="15" customWidth="1"/>
    <col min="5644" max="5644" width="7.6640625" style="15" customWidth="1"/>
    <col min="5645" max="5645" width="8.83203125" style="15" customWidth="1"/>
    <col min="5646" max="5646" width="10.33203125" style="15" customWidth="1"/>
    <col min="5647" max="5649" width="9.33203125" style="15" customWidth="1"/>
    <col min="5650" max="5650" width="15.6640625" style="15" customWidth="1"/>
    <col min="5651" max="5651" width="12.6640625" style="15" customWidth="1"/>
    <col min="5652" max="5890" width="10" style="15"/>
    <col min="5891" max="5891" width="7.6640625" style="15" customWidth="1"/>
    <col min="5892" max="5892" width="4.33203125" style="15" customWidth="1"/>
    <col min="5893" max="5894" width="6.83203125" style="15" customWidth="1"/>
    <col min="5895" max="5895" width="6.33203125" style="15" customWidth="1"/>
    <col min="5896" max="5896" width="9" style="15" customWidth="1"/>
    <col min="5897" max="5899" width="8.33203125" style="15" customWidth="1"/>
    <col min="5900" max="5900" width="7.6640625" style="15" customWidth="1"/>
    <col min="5901" max="5901" width="8.83203125" style="15" customWidth="1"/>
    <col min="5902" max="5902" width="10.33203125" style="15" customWidth="1"/>
    <col min="5903" max="5905" width="9.33203125" style="15" customWidth="1"/>
    <col min="5906" max="5906" width="15.6640625" style="15" customWidth="1"/>
    <col min="5907" max="5907" width="12.6640625" style="15" customWidth="1"/>
    <col min="5908" max="6146" width="10" style="15"/>
    <col min="6147" max="6147" width="7.6640625" style="15" customWidth="1"/>
    <col min="6148" max="6148" width="4.33203125" style="15" customWidth="1"/>
    <col min="6149" max="6150" width="6.83203125" style="15" customWidth="1"/>
    <col min="6151" max="6151" width="6.33203125" style="15" customWidth="1"/>
    <col min="6152" max="6152" width="9" style="15" customWidth="1"/>
    <col min="6153" max="6155" width="8.33203125" style="15" customWidth="1"/>
    <col min="6156" max="6156" width="7.6640625" style="15" customWidth="1"/>
    <col min="6157" max="6157" width="8.83203125" style="15" customWidth="1"/>
    <col min="6158" max="6158" width="10.33203125" style="15" customWidth="1"/>
    <col min="6159" max="6161" width="9.33203125" style="15" customWidth="1"/>
    <col min="6162" max="6162" width="15.6640625" style="15" customWidth="1"/>
    <col min="6163" max="6163" width="12.6640625" style="15" customWidth="1"/>
    <col min="6164" max="6402" width="10" style="15"/>
    <col min="6403" max="6403" width="7.6640625" style="15" customWidth="1"/>
    <col min="6404" max="6404" width="4.33203125" style="15" customWidth="1"/>
    <col min="6405" max="6406" width="6.83203125" style="15" customWidth="1"/>
    <col min="6407" max="6407" width="6.33203125" style="15" customWidth="1"/>
    <col min="6408" max="6408" width="9" style="15" customWidth="1"/>
    <col min="6409" max="6411" width="8.33203125" style="15" customWidth="1"/>
    <col min="6412" max="6412" width="7.6640625" style="15" customWidth="1"/>
    <col min="6413" max="6413" width="8.83203125" style="15" customWidth="1"/>
    <col min="6414" max="6414" width="10.33203125" style="15" customWidth="1"/>
    <col min="6415" max="6417" width="9.33203125" style="15" customWidth="1"/>
    <col min="6418" max="6418" width="15.6640625" style="15" customWidth="1"/>
    <col min="6419" max="6419" width="12.6640625" style="15" customWidth="1"/>
    <col min="6420" max="6658" width="10" style="15"/>
    <col min="6659" max="6659" width="7.6640625" style="15" customWidth="1"/>
    <col min="6660" max="6660" width="4.33203125" style="15" customWidth="1"/>
    <col min="6661" max="6662" width="6.83203125" style="15" customWidth="1"/>
    <col min="6663" max="6663" width="6.33203125" style="15" customWidth="1"/>
    <col min="6664" max="6664" width="9" style="15" customWidth="1"/>
    <col min="6665" max="6667" width="8.33203125" style="15" customWidth="1"/>
    <col min="6668" max="6668" width="7.6640625" style="15" customWidth="1"/>
    <col min="6669" max="6669" width="8.83203125" style="15" customWidth="1"/>
    <col min="6670" max="6670" width="10.33203125" style="15" customWidth="1"/>
    <col min="6671" max="6673" width="9.33203125" style="15" customWidth="1"/>
    <col min="6674" max="6674" width="15.6640625" style="15" customWidth="1"/>
    <col min="6675" max="6675" width="12.6640625" style="15" customWidth="1"/>
    <col min="6676" max="6914" width="10" style="15"/>
    <col min="6915" max="6915" width="7.6640625" style="15" customWidth="1"/>
    <col min="6916" max="6916" width="4.33203125" style="15" customWidth="1"/>
    <col min="6917" max="6918" width="6.83203125" style="15" customWidth="1"/>
    <col min="6919" max="6919" width="6.33203125" style="15" customWidth="1"/>
    <col min="6920" max="6920" width="9" style="15" customWidth="1"/>
    <col min="6921" max="6923" width="8.33203125" style="15" customWidth="1"/>
    <col min="6924" max="6924" width="7.6640625" style="15" customWidth="1"/>
    <col min="6925" max="6925" width="8.83203125" style="15" customWidth="1"/>
    <col min="6926" max="6926" width="10.33203125" style="15" customWidth="1"/>
    <col min="6927" max="6929" width="9.33203125" style="15" customWidth="1"/>
    <col min="6930" max="6930" width="15.6640625" style="15" customWidth="1"/>
    <col min="6931" max="6931" width="12.6640625" style="15" customWidth="1"/>
    <col min="6932" max="7170" width="10" style="15"/>
    <col min="7171" max="7171" width="7.6640625" style="15" customWidth="1"/>
    <col min="7172" max="7172" width="4.33203125" style="15" customWidth="1"/>
    <col min="7173" max="7174" width="6.83203125" style="15" customWidth="1"/>
    <col min="7175" max="7175" width="6.33203125" style="15" customWidth="1"/>
    <col min="7176" max="7176" width="9" style="15" customWidth="1"/>
    <col min="7177" max="7179" width="8.33203125" style="15" customWidth="1"/>
    <col min="7180" max="7180" width="7.6640625" style="15" customWidth="1"/>
    <col min="7181" max="7181" width="8.83203125" style="15" customWidth="1"/>
    <col min="7182" max="7182" width="10.33203125" style="15" customWidth="1"/>
    <col min="7183" max="7185" width="9.33203125" style="15" customWidth="1"/>
    <col min="7186" max="7186" width="15.6640625" style="15" customWidth="1"/>
    <col min="7187" max="7187" width="12.6640625" style="15" customWidth="1"/>
    <col min="7188" max="7426" width="10" style="15"/>
    <col min="7427" max="7427" width="7.6640625" style="15" customWidth="1"/>
    <col min="7428" max="7428" width="4.33203125" style="15" customWidth="1"/>
    <col min="7429" max="7430" width="6.83203125" style="15" customWidth="1"/>
    <col min="7431" max="7431" width="6.33203125" style="15" customWidth="1"/>
    <col min="7432" max="7432" width="9" style="15" customWidth="1"/>
    <col min="7433" max="7435" width="8.33203125" style="15" customWidth="1"/>
    <col min="7436" max="7436" width="7.6640625" style="15" customWidth="1"/>
    <col min="7437" max="7437" width="8.83203125" style="15" customWidth="1"/>
    <col min="7438" max="7438" width="10.33203125" style="15" customWidth="1"/>
    <col min="7439" max="7441" width="9.33203125" style="15" customWidth="1"/>
    <col min="7442" max="7442" width="15.6640625" style="15" customWidth="1"/>
    <col min="7443" max="7443" width="12.6640625" style="15" customWidth="1"/>
    <col min="7444" max="7682" width="10" style="15"/>
    <col min="7683" max="7683" width="7.6640625" style="15" customWidth="1"/>
    <col min="7684" max="7684" width="4.33203125" style="15" customWidth="1"/>
    <col min="7685" max="7686" width="6.83203125" style="15" customWidth="1"/>
    <col min="7687" max="7687" width="6.33203125" style="15" customWidth="1"/>
    <col min="7688" max="7688" width="9" style="15" customWidth="1"/>
    <col min="7689" max="7691" width="8.33203125" style="15" customWidth="1"/>
    <col min="7692" max="7692" width="7.6640625" style="15" customWidth="1"/>
    <col min="7693" max="7693" width="8.83203125" style="15" customWidth="1"/>
    <col min="7694" max="7694" width="10.33203125" style="15" customWidth="1"/>
    <col min="7695" max="7697" width="9.33203125" style="15" customWidth="1"/>
    <col min="7698" max="7698" width="15.6640625" style="15" customWidth="1"/>
    <col min="7699" max="7699" width="12.6640625" style="15" customWidth="1"/>
    <col min="7700" max="7938" width="10" style="15"/>
    <col min="7939" max="7939" width="7.6640625" style="15" customWidth="1"/>
    <col min="7940" max="7940" width="4.33203125" style="15" customWidth="1"/>
    <col min="7941" max="7942" width="6.83203125" style="15" customWidth="1"/>
    <col min="7943" max="7943" width="6.33203125" style="15" customWidth="1"/>
    <col min="7944" max="7944" width="9" style="15" customWidth="1"/>
    <col min="7945" max="7947" width="8.33203125" style="15" customWidth="1"/>
    <col min="7948" max="7948" width="7.6640625" style="15" customWidth="1"/>
    <col min="7949" max="7949" width="8.83203125" style="15" customWidth="1"/>
    <col min="7950" max="7950" width="10.33203125" style="15" customWidth="1"/>
    <col min="7951" max="7953" width="9.33203125" style="15" customWidth="1"/>
    <col min="7954" max="7954" width="15.6640625" style="15" customWidth="1"/>
    <col min="7955" max="7955" width="12.6640625" style="15" customWidth="1"/>
    <col min="7956" max="8194" width="10" style="15"/>
    <col min="8195" max="8195" width="7.6640625" style="15" customWidth="1"/>
    <col min="8196" max="8196" width="4.33203125" style="15" customWidth="1"/>
    <col min="8197" max="8198" width="6.83203125" style="15" customWidth="1"/>
    <col min="8199" max="8199" width="6.33203125" style="15" customWidth="1"/>
    <col min="8200" max="8200" width="9" style="15" customWidth="1"/>
    <col min="8201" max="8203" width="8.33203125" style="15" customWidth="1"/>
    <col min="8204" max="8204" width="7.6640625" style="15" customWidth="1"/>
    <col min="8205" max="8205" width="8.83203125" style="15" customWidth="1"/>
    <col min="8206" max="8206" width="10.33203125" style="15" customWidth="1"/>
    <col min="8207" max="8209" width="9.33203125" style="15" customWidth="1"/>
    <col min="8210" max="8210" width="15.6640625" style="15" customWidth="1"/>
    <col min="8211" max="8211" width="12.6640625" style="15" customWidth="1"/>
    <col min="8212" max="8450" width="10" style="15"/>
    <col min="8451" max="8451" width="7.6640625" style="15" customWidth="1"/>
    <col min="8452" max="8452" width="4.33203125" style="15" customWidth="1"/>
    <col min="8453" max="8454" width="6.83203125" style="15" customWidth="1"/>
    <col min="8455" max="8455" width="6.33203125" style="15" customWidth="1"/>
    <col min="8456" max="8456" width="9" style="15" customWidth="1"/>
    <col min="8457" max="8459" width="8.33203125" style="15" customWidth="1"/>
    <col min="8460" max="8460" width="7.6640625" style="15" customWidth="1"/>
    <col min="8461" max="8461" width="8.83203125" style="15" customWidth="1"/>
    <col min="8462" max="8462" width="10.33203125" style="15" customWidth="1"/>
    <col min="8463" max="8465" width="9.33203125" style="15" customWidth="1"/>
    <col min="8466" max="8466" width="15.6640625" style="15" customWidth="1"/>
    <col min="8467" max="8467" width="12.6640625" style="15" customWidth="1"/>
    <col min="8468" max="8706" width="10" style="15"/>
    <col min="8707" max="8707" width="7.6640625" style="15" customWidth="1"/>
    <col min="8708" max="8708" width="4.33203125" style="15" customWidth="1"/>
    <col min="8709" max="8710" width="6.83203125" style="15" customWidth="1"/>
    <col min="8711" max="8711" width="6.33203125" style="15" customWidth="1"/>
    <col min="8712" max="8712" width="9" style="15" customWidth="1"/>
    <col min="8713" max="8715" width="8.33203125" style="15" customWidth="1"/>
    <col min="8716" max="8716" width="7.6640625" style="15" customWidth="1"/>
    <col min="8717" max="8717" width="8.83203125" style="15" customWidth="1"/>
    <col min="8718" max="8718" width="10.33203125" style="15" customWidth="1"/>
    <col min="8719" max="8721" width="9.33203125" style="15" customWidth="1"/>
    <col min="8722" max="8722" width="15.6640625" style="15" customWidth="1"/>
    <col min="8723" max="8723" width="12.6640625" style="15" customWidth="1"/>
    <col min="8724" max="8962" width="10" style="15"/>
    <col min="8963" max="8963" width="7.6640625" style="15" customWidth="1"/>
    <col min="8964" max="8964" width="4.33203125" style="15" customWidth="1"/>
    <col min="8965" max="8966" width="6.83203125" style="15" customWidth="1"/>
    <col min="8967" max="8967" width="6.33203125" style="15" customWidth="1"/>
    <col min="8968" max="8968" width="9" style="15" customWidth="1"/>
    <col min="8969" max="8971" width="8.33203125" style="15" customWidth="1"/>
    <col min="8972" max="8972" width="7.6640625" style="15" customWidth="1"/>
    <col min="8973" max="8973" width="8.83203125" style="15" customWidth="1"/>
    <col min="8974" max="8974" width="10.33203125" style="15" customWidth="1"/>
    <col min="8975" max="8977" width="9.33203125" style="15" customWidth="1"/>
    <col min="8978" max="8978" width="15.6640625" style="15" customWidth="1"/>
    <col min="8979" max="8979" width="12.6640625" style="15" customWidth="1"/>
    <col min="8980" max="9218" width="10" style="15"/>
    <col min="9219" max="9219" width="7.6640625" style="15" customWidth="1"/>
    <col min="9220" max="9220" width="4.33203125" style="15" customWidth="1"/>
    <col min="9221" max="9222" width="6.83203125" style="15" customWidth="1"/>
    <col min="9223" max="9223" width="6.33203125" style="15" customWidth="1"/>
    <col min="9224" max="9224" width="9" style="15" customWidth="1"/>
    <col min="9225" max="9227" width="8.33203125" style="15" customWidth="1"/>
    <col min="9228" max="9228" width="7.6640625" style="15" customWidth="1"/>
    <col min="9229" max="9229" width="8.83203125" style="15" customWidth="1"/>
    <col min="9230" max="9230" width="10.33203125" style="15" customWidth="1"/>
    <col min="9231" max="9233" width="9.33203125" style="15" customWidth="1"/>
    <col min="9234" max="9234" width="15.6640625" style="15" customWidth="1"/>
    <col min="9235" max="9235" width="12.6640625" style="15" customWidth="1"/>
    <col min="9236" max="9474" width="10" style="15"/>
    <col min="9475" max="9475" width="7.6640625" style="15" customWidth="1"/>
    <col min="9476" max="9476" width="4.33203125" style="15" customWidth="1"/>
    <col min="9477" max="9478" width="6.83203125" style="15" customWidth="1"/>
    <col min="9479" max="9479" width="6.33203125" style="15" customWidth="1"/>
    <col min="9480" max="9480" width="9" style="15" customWidth="1"/>
    <col min="9481" max="9483" width="8.33203125" style="15" customWidth="1"/>
    <col min="9484" max="9484" width="7.6640625" style="15" customWidth="1"/>
    <col min="9485" max="9485" width="8.83203125" style="15" customWidth="1"/>
    <col min="9486" max="9486" width="10.33203125" style="15" customWidth="1"/>
    <col min="9487" max="9489" width="9.33203125" style="15" customWidth="1"/>
    <col min="9490" max="9490" width="15.6640625" style="15" customWidth="1"/>
    <col min="9491" max="9491" width="12.6640625" style="15" customWidth="1"/>
    <col min="9492" max="9730" width="10" style="15"/>
    <col min="9731" max="9731" width="7.6640625" style="15" customWidth="1"/>
    <col min="9732" max="9732" width="4.33203125" style="15" customWidth="1"/>
    <col min="9733" max="9734" width="6.83203125" style="15" customWidth="1"/>
    <col min="9735" max="9735" width="6.33203125" style="15" customWidth="1"/>
    <col min="9736" max="9736" width="9" style="15" customWidth="1"/>
    <col min="9737" max="9739" width="8.33203125" style="15" customWidth="1"/>
    <col min="9740" max="9740" width="7.6640625" style="15" customWidth="1"/>
    <col min="9741" max="9741" width="8.83203125" style="15" customWidth="1"/>
    <col min="9742" max="9742" width="10.33203125" style="15" customWidth="1"/>
    <col min="9743" max="9745" width="9.33203125" style="15" customWidth="1"/>
    <col min="9746" max="9746" width="15.6640625" style="15" customWidth="1"/>
    <col min="9747" max="9747" width="12.6640625" style="15" customWidth="1"/>
    <col min="9748" max="9986" width="10" style="15"/>
    <col min="9987" max="9987" width="7.6640625" style="15" customWidth="1"/>
    <col min="9988" max="9988" width="4.33203125" style="15" customWidth="1"/>
    <col min="9989" max="9990" width="6.83203125" style="15" customWidth="1"/>
    <col min="9991" max="9991" width="6.33203125" style="15" customWidth="1"/>
    <col min="9992" max="9992" width="9" style="15" customWidth="1"/>
    <col min="9993" max="9995" width="8.33203125" style="15" customWidth="1"/>
    <col min="9996" max="9996" width="7.6640625" style="15" customWidth="1"/>
    <col min="9997" max="9997" width="8.83203125" style="15" customWidth="1"/>
    <col min="9998" max="9998" width="10.33203125" style="15" customWidth="1"/>
    <col min="9999" max="10001" width="9.33203125" style="15" customWidth="1"/>
    <col min="10002" max="10002" width="15.6640625" style="15" customWidth="1"/>
    <col min="10003" max="10003" width="12.6640625" style="15" customWidth="1"/>
    <col min="10004" max="10242" width="10" style="15"/>
    <col min="10243" max="10243" width="7.6640625" style="15" customWidth="1"/>
    <col min="10244" max="10244" width="4.33203125" style="15" customWidth="1"/>
    <col min="10245" max="10246" width="6.83203125" style="15" customWidth="1"/>
    <col min="10247" max="10247" width="6.33203125" style="15" customWidth="1"/>
    <col min="10248" max="10248" width="9" style="15" customWidth="1"/>
    <col min="10249" max="10251" width="8.33203125" style="15" customWidth="1"/>
    <col min="10252" max="10252" width="7.6640625" style="15" customWidth="1"/>
    <col min="10253" max="10253" width="8.83203125" style="15" customWidth="1"/>
    <col min="10254" max="10254" width="10.33203125" style="15" customWidth="1"/>
    <col min="10255" max="10257" width="9.33203125" style="15" customWidth="1"/>
    <col min="10258" max="10258" width="15.6640625" style="15" customWidth="1"/>
    <col min="10259" max="10259" width="12.6640625" style="15" customWidth="1"/>
    <col min="10260" max="10498" width="10" style="15"/>
    <col min="10499" max="10499" width="7.6640625" style="15" customWidth="1"/>
    <col min="10500" max="10500" width="4.33203125" style="15" customWidth="1"/>
    <col min="10501" max="10502" width="6.83203125" style="15" customWidth="1"/>
    <col min="10503" max="10503" width="6.33203125" style="15" customWidth="1"/>
    <col min="10504" max="10504" width="9" style="15" customWidth="1"/>
    <col min="10505" max="10507" width="8.33203125" style="15" customWidth="1"/>
    <col min="10508" max="10508" width="7.6640625" style="15" customWidth="1"/>
    <col min="10509" max="10509" width="8.83203125" style="15" customWidth="1"/>
    <col min="10510" max="10510" width="10.33203125" style="15" customWidth="1"/>
    <col min="10511" max="10513" width="9.33203125" style="15" customWidth="1"/>
    <col min="10514" max="10514" width="15.6640625" style="15" customWidth="1"/>
    <col min="10515" max="10515" width="12.6640625" style="15" customWidth="1"/>
    <col min="10516" max="10754" width="10" style="15"/>
    <col min="10755" max="10755" width="7.6640625" style="15" customWidth="1"/>
    <col min="10756" max="10756" width="4.33203125" style="15" customWidth="1"/>
    <col min="10757" max="10758" width="6.83203125" style="15" customWidth="1"/>
    <col min="10759" max="10759" width="6.33203125" style="15" customWidth="1"/>
    <col min="10760" max="10760" width="9" style="15" customWidth="1"/>
    <col min="10761" max="10763" width="8.33203125" style="15" customWidth="1"/>
    <col min="10764" max="10764" width="7.6640625" style="15" customWidth="1"/>
    <col min="10765" max="10765" width="8.83203125" style="15" customWidth="1"/>
    <col min="10766" max="10766" width="10.33203125" style="15" customWidth="1"/>
    <col min="10767" max="10769" width="9.33203125" style="15" customWidth="1"/>
    <col min="10770" max="10770" width="15.6640625" style="15" customWidth="1"/>
    <col min="10771" max="10771" width="12.6640625" style="15" customWidth="1"/>
    <col min="10772" max="11010" width="10" style="15"/>
    <col min="11011" max="11011" width="7.6640625" style="15" customWidth="1"/>
    <col min="11012" max="11012" width="4.33203125" style="15" customWidth="1"/>
    <col min="11013" max="11014" width="6.83203125" style="15" customWidth="1"/>
    <col min="11015" max="11015" width="6.33203125" style="15" customWidth="1"/>
    <col min="11016" max="11016" width="9" style="15" customWidth="1"/>
    <col min="11017" max="11019" width="8.33203125" style="15" customWidth="1"/>
    <col min="11020" max="11020" width="7.6640625" style="15" customWidth="1"/>
    <col min="11021" max="11021" width="8.83203125" style="15" customWidth="1"/>
    <col min="11022" max="11022" width="10.33203125" style="15" customWidth="1"/>
    <col min="11023" max="11025" width="9.33203125" style="15" customWidth="1"/>
    <col min="11026" max="11026" width="15.6640625" style="15" customWidth="1"/>
    <col min="11027" max="11027" width="12.6640625" style="15" customWidth="1"/>
    <col min="11028" max="11266" width="10" style="15"/>
    <col min="11267" max="11267" width="7.6640625" style="15" customWidth="1"/>
    <col min="11268" max="11268" width="4.33203125" style="15" customWidth="1"/>
    <col min="11269" max="11270" width="6.83203125" style="15" customWidth="1"/>
    <col min="11271" max="11271" width="6.33203125" style="15" customWidth="1"/>
    <col min="11272" max="11272" width="9" style="15" customWidth="1"/>
    <col min="11273" max="11275" width="8.33203125" style="15" customWidth="1"/>
    <col min="11276" max="11276" width="7.6640625" style="15" customWidth="1"/>
    <col min="11277" max="11277" width="8.83203125" style="15" customWidth="1"/>
    <col min="11278" max="11278" width="10.33203125" style="15" customWidth="1"/>
    <col min="11279" max="11281" width="9.33203125" style="15" customWidth="1"/>
    <col min="11282" max="11282" width="15.6640625" style="15" customWidth="1"/>
    <col min="11283" max="11283" width="12.6640625" style="15" customWidth="1"/>
    <col min="11284" max="11522" width="10" style="15"/>
    <col min="11523" max="11523" width="7.6640625" style="15" customWidth="1"/>
    <col min="11524" max="11524" width="4.33203125" style="15" customWidth="1"/>
    <col min="11525" max="11526" width="6.83203125" style="15" customWidth="1"/>
    <col min="11527" max="11527" width="6.33203125" style="15" customWidth="1"/>
    <col min="11528" max="11528" width="9" style="15" customWidth="1"/>
    <col min="11529" max="11531" width="8.33203125" style="15" customWidth="1"/>
    <col min="11532" max="11532" width="7.6640625" style="15" customWidth="1"/>
    <col min="11533" max="11533" width="8.83203125" style="15" customWidth="1"/>
    <col min="11534" max="11534" width="10.33203125" style="15" customWidth="1"/>
    <col min="11535" max="11537" width="9.33203125" style="15" customWidth="1"/>
    <col min="11538" max="11538" width="15.6640625" style="15" customWidth="1"/>
    <col min="11539" max="11539" width="12.6640625" style="15" customWidth="1"/>
    <col min="11540" max="11778" width="10" style="15"/>
    <col min="11779" max="11779" width="7.6640625" style="15" customWidth="1"/>
    <col min="11780" max="11780" width="4.33203125" style="15" customWidth="1"/>
    <col min="11781" max="11782" width="6.83203125" style="15" customWidth="1"/>
    <col min="11783" max="11783" width="6.33203125" style="15" customWidth="1"/>
    <col min="11784" max="11784" width="9" style="15" customWidth="1"/>
    <col min="11785" max="11787" width="8.33203125" style="15" customWidth="1"/>
    <col min="11788" max="11788" width="7.6640625" style="15" customWidth="1"/>
    <col min="11789" max="11789" width="8.83203125" style="15" customWidth="1"/>
    <col min="11790" max="11790" width="10.33203125" style="15" customWidth="1"/>
    <col min="11791" max="11793" width="9.33203125" style="15" customWidth="1"/>
    <col min="11794" max="11794" width="15.6640625" style="15" customWidth="1"/>
    <col min="11795" max="11795" width="12.6640625" style="15" customWidth="1"/>
    <col min="11796" max="12034" width="10" style="15"/>
    <col min="12035" max="12035" width="7.6640625" style="15" customWidth="1"/>
    <col min="12036" max="12036" width="4.33203125" style="15" customWidth="1"/>
    <col min="12037" max="12038" width="6.83203125" style="15" customWidth="1"/>
    <col min="12039" max="12039" width="6.33203125" style="15" customWidth="1"/>
    <col min="12040" max="12040" width="9" style="15" customWidth="1"/>
    <col min="12041" max="12043" width="8.33203125" style="15" customWidth="1"/>
    <col min="12044" max="12044" width="7.6640625" style="15" customWidth="1"/>
    <col min="12045" max="12045" width="8.83203125" style="15" customWidth="1"/>
    <col min="12046" max="12046" width="10.33203125" style="15" customWidth="1"/>
    <col min="12047" max="12049" width="9.33203125" style="15" customWidth="1"/>
    <col min="12050" max="12050" width="15.6640625" style="15" customWidth="1"/>
    <col min="12051" max="12051" width="12.6640625" style="15" customWidth="1"/>
    <col min="12052" max="12290" width="10" style="15"/>
    <col min="12291" max="12291" width="7.6640625" style="15" customWidth="1"/>
    <col min="12292" max="12292" width="4.33203125" style="15" customWidth="1"/>
    <col min="12293" max="12294" width="6.83203125" style="15" customWidth="1"/>
    <col min="12295" max="12295" width="6.33203125" style="15" customWidth="1"/>
    <col min="12296" max="12296" width="9" style="15" customWidth="1"/>
    <col min="12297" max="12299" width="8.33203125" style="15" customWidth="1"/>
    <col min="12300" max="12300" width="7.6640625" style="15" customWidth="1"/>
    <col min="12301" max="12301" width="8.83203125" style="15" customWidth="1"/>
    <col min="12302" max="12302" width="10.33203125" style="15" customWidth="1"/>
    <col min="12303" max="12305" width="9.33203125" style="15" customWidth="1"/>
    <col min="12306" max="12306" width="15.6640625" style="15" customWidth="1"/>
    <col min="12307" max="12307" width="12.6640625" style="15" customWidth="1"/>
    <col min="12308" max="12546" width="10" style="15"/>
    <col min="12547" max="12547" width="7.6640625" style="15" customWidth="1"/>
    <col min="12548" max="12548" width="4.33203125" style="15" customWidth="1"/>
    <col min="12549" max="12550" width="6.83203125" style="15" customWidth="1"/>
    <col min="12551" max="12551" width="6.33203125" style="15" customWidth="1"/>
    <col min="12552" max="12552" width="9" style="15" customWidth="1"/>
    <col min="12553" max="12555" width="8.33203125" style="15" customWidth="1"/>
    <col min="12556" max="12556" width="7.6640625" style="15" customWidth="1"/>
    <col min="12557" max="12557" width="8.83203125" style="15" customWidth="1"/>
    <col min="12558" max="12558" width="10.33203125" style="15" customWidth="1"/>
    <col min="12559" max="12561" width="9.33203125" style="15" customWidth="1"/>
    <col min="12562" max="12562" width="15.6640625" style="15" customWidth="1"/>
    <col min="12563" max="12563" width="12.6640625" style="15" customWidth="1"/>
    <col min="12564" max="12802" width="10" style="15"/>
    <col min="12803" max="12803" width="7.6640625" style="15" customWidth="1"/>
    <col min="12804" max="12804" width="4.33203125" style="15" customWidth="1"/>
    <col min="12805" max="12806" width="6.83203125" style="15" customWidth="1"/>
    <col min="12807" max="12807" width="6.33203125" style="15" customWidth="1"/>
    <col min="12808" max="12808" width="9" style="15" customWidth="1"/>
    <col min="12809" max="12811" width="8.33203125" style="15" customWidth="1"/>
    <col min="12812" max="12812" width="7.6640625" style="15" customWidth="1"/>
    <col min="12813" max="12813" width="8.83203125" style="15" customWidth="1"/>
    <col min="12814" max="12814" width="10.33203125" style="15" customWidth="1"/>
    <col min="12815" max="12817" width="9.33203125" style="15" customWidth="1"/>
    <col min="12818" max="12818" width="15.6640625" style="15" customWidth="1"/>
    <col min="12819" max="12819" width="12.6640625" style="15" customWidth="1"/>
    <col min="12820" max="13058" width="10" style="15"/>
    <col min="13059" max="13059" width="7.6640625" style="15" customWidth="1"/>
    <col min="13060" max="13060" width="4.33203125" style="15" customWidth="1"/>
    <col min="13061" max="13062" width="6.83203125" style="15" customWidth="1"/>
    <col min="13063" max="13063" width="6.33203125" style="15" customWidth="1"/>
    <col min="13064" max="13064" width="9" style="15" customWidth="1"/>
    <col min="13065" max="13067" width="8.33203125" style="15" customWidth="1"/>
    <col min="13068" max="13068" width="7.6640625" style="15" customWidth="1"/>
    <col min="13069" max="13069" width="8.83203125" style="15" customWidth="1"/>
    <col min="13070" max="13070" width="10.33203125" style="15" customWidth="1"/>
    <col min="13071" max="13073" width="9.33203125" style="15" customWidth="1"/>
    <col min="13074" max="13074" width="15.6640625" style="15" customWidth="1"/>
    <col min="13075" max="13075" width="12.6640625" style="15" customWidth="1"/>
    <col min="13076" max="13314" width="10" style="15"/>
    <col min="13315" max="13315" width="7.6640625" style="15" customWidth="1"/>
    <col min="13316" max="13316" width="4.33203125" style="15" customWidth="1"/>
    <col min="13317" max="13318" width="6.83203125" style="15" customWidth="1"/>
    <col min="13319" max="13319" width="6.33203125" style="15" customWidth="1"/>
    <col min="13320" max="13320" width="9" style="15" customWidth="1"/>
    <col min="13321" max="13323" width="8.33203125" style="15" customWidth="1"/>
    <col min="13324" max="13324" width="7.6640625" style="15" customWidth="1"/>
    <col min="13325" max="13325" width="8.83203125" style="15" customWidth="1"/>
    <col min="13326" max="13326" width="10.33203125" style="15" customWidth="1"/>
    <col min="13327" max="13329" width="9.33203125" style="15" customWidth="1"/>
    <col min="13330" max="13330" width="15.6640625" style="15" customWidth="1"/>
    <col min="13331" max="13331" width="12.6640625" style="15" customWidth="1"/>
    <col min="13332" max="13570" width="10" style="15"/>
    <col min="13571" max="13571" width="7.6640625" style="15" customWidth="1"/>
    <col min="13572" max="13572" width="4.33203125" style="15" customWidth="1"/>
    <col min="13573" max="13574" width="6.83203125" style="15" customWidth="1"/>
    <col min="13575" max="13575" width="6.33203125" style="15" customWidth="1"/>
    <col min="13576" max="13576" width="9" style="15" customWidth="1"/>
    <col min="13577" max="13579" width="8.33203125" style="15" customWidth="1"/>
    <col min="13580" max="13580" width="7.6640625" style="15" customWidth="1"/>
    <col min="13581" max="13581" width="8.83203125" style="15" customWidth="1"/>
    <col min="13582" max="13582" width="10.33203125" style="15" customWidth="1"/>
    <col min="13583" max="13585" width="9.33203125" style="15" customWidth="1"/>
    <col min="13586" max="13586" width="15.6640625" style="15" customWidth="1"/>
    <col min="13587" max="13587" width="12.6640625" style="15" customWidth="1"/>
    <col min="13588" max="13826" width="10" style="15"/>
    <col min="13827" max="13827" width="7.6640625" style="15" customWidth="1"/>
    <col min="13828" max="13828" width="4.33203125" style="15" customWidth="1"/>
    <col min="13829" max="13830" width="6.83203125" style="15" customWidth="1"/>
    <col min="13831" max="13831" width="6.33203125" style="15" customWidth="1"/>
    <col min="13832" max="13832" width="9" style="15" customWidth="1"/>
    <col min="13833" max="13835" width="8.33203125" style="15" customWidth="1"/>
    <col min="13836" max="13836" width="7.6640625" style="15" customWidth="1"/>
    <col min="13837" max="13837" width="8.83203125" style="15" customWidth="1"/>
    <col min="13838" max="13838" width="10.33203125" style="15" customWidth="1"/>
    <col min="13839" max="13841" width="9.33203125" style="15" customWidth="1"/>
    <col min="13842" max="13842" width="15.6640625" style="15" customWidth="1"/>
    <col min="13843" max="13843" width="12.6640625" style="15" customWidth="1"/>
    <col min="13844" max="14082" width="10" style="15"/>
    <col min="14083" max="14083" width="7.6640625" style="15" customWidth="1"/>
    <col min="14084" max="14084" width="4.33203125" style="15" customWidth="1"/>
    <col min="14085" max="14086" width="6.83203125" style="15" customWidth="1"/>
    <col min="14087" max="14087" width="6.33203125" style="15" customWidth="1"/>
    <col min="14088" max="14088" width="9" style="15" customWidth="1"/>
    <col min="14089" max="14091" width="8.33203125" style="15" customWidth="1"/>
    <col min="14092" max="14092" width="7.6640625" style="15" customWidth="1"/>
    <col min="14093" max="14093" width="8.83203125" style="15" customWidth="1"/>
    <col min="14094" max="14094" width="10.33203125" style="15" customWidth="1"/>
    <col min="14095" max="14097" width="9.33203125" style="15" customWidth="1"/>
    <col min="14098" max="14098" width="15.6640625" style="15" customWidth="1"/>
    <col min="14099" max="14099" width="12.6640625" style="15" customWidth="1"/>
    <col min="14100" max="14338" width="10" style="15"/>
    <col min="14339" max="14339" width="7.6640625" style="15" customWidth="1"/>
    <col min="14340" max="14340" width="4.33203125" style="15" customWidth="1"/>
    <col min="14341" max="14342" width="6.83203125" style="15" customWidth="1"/>
    <col min="14343" max="14343" width="6.33203125" style="15" customWidth="1"/>
    <col min="14344" max="14344" width="9" style="15" customWidth="1"/>
    <col min="14345" max="14347" width="8.33203125" style="15" customWidth="1"/>
    <col min="14348" max="14348" width="7.6640625" style="15" customWidth="1"/>
    <col min="14349" max="14349" width="8.83203125" style="15" customWidth="1"/>
    <col min="14350" max="14350" width="10.33203125" style="15" customWidth="1"/>
    <col min="14351" max="14353" width="9.33203125" style="15" customWidth="1"/>
    <col min="14354" max="14354" width="15.6640625" style="15" customWidth="1"/>
    <col min="14355" max="14355" width="12.6640625" style="15" customWidth="1"/>
    <col min="14356" max="14594" width="10" style="15"/>
    <col min="14595" max="14595" width="7.6640625" style="15" customWidth="1"/>
    <col min="14596" max="14596" width="4.33203125" style="15" customWidth="1"/>
    <col min="14597" max="14598" width="6.83203125" style="15" customWidth="1"/>
    <col min="14599" max="14599" width="6.33203125" style="15" customWidth="1"/>
    <col min="14600" max="14600" width="9" style="15" customWidth="1"/>
    <col min="14601" max="14603" width="8.33203125" style="15" customWidth="1"/>
    <col min="14604" max="14604" width="7.6640625" style="15" customWidth="1"/>
    <col min="14605" max="14605" width="8.83203125" style="15" customWidth="1"/>
    <col min="14606" max="14606" width="10.33203125" style="15" customWidth="1"/>
    <col min="14607" max="14609" width="9.33203125" style="15" customWidth="1"/>
    <col min="14610" max="14610" width="15.6640625" style="15" customWidth="1"/>
    <col min="14611" max="14611" width="12.6640625" style="15" customWidth="1"/>
    <col min="14612" max="14850" width="10" style="15"/>
    <col min="14851" max="14851" width="7.6640625" style="15" customWidth="1"/>
    <col min="14852" max="14852" width="4.33203125" style="15" customWidth="1"/>
    <col min="14853" max="14854" width="6.83203125" style="15" customWidth="1"/>
    <col min="14855" max="14855" width="6.33203125" style="15" customWidth="1"/>
    <col min="14856" max="14856" width="9" style="15" customWidth="1"/>
    <col min="14857" max="14859" width="8.33203125" style="15" customWidth="1"/>
    <col min="14860" max="14860" width="7.6640625" style="15" customWidth="1"/>
    <col min="14861" max="14861" width="8.83203125" style="15" customWidth="1"/>
    <col min="14862" max="14862" width="10.33203125" style="15" customWidth="1"/>
    <col min="14863" max="14865" width="9.33203125" style="15" customWidth="1"/>
    <col min="14866" max="14866" width="15.6640625" style="15" customWidth="1"/>
    <col min="14867" max="14867" width="12.6640625" style="15" customWidth="1"/>
    <col min="14868" max="15106" width="10" style="15"/>
    <col min="15107" max="15107" width="7.6640625" style="15" customWidth="1"/>
    <col min="15108" max="15108" width="4.33203125" style="15" customWidth="1"/>
    <col min="15109" max="15110" width="6.83203125" style="15" customWidth="1"/>
    <col min="15111" max="15111" width="6.33203125" style="15" customWidth="1"/>
    <col min="15112" max="15112" width="9" style="15" customWidth="1"/>
    <col min="15113" max="15115" width="8.33203125" style="15" customWidth="1"/>
    <col min="15116" max="15116" width="7.6640625" style="15" customWidth="1"/>
    <col min="15117" max="15117" width="8.83203125" style="15" customWidth="1"/>
    <col min="15118" max="15118" width="10.33203125" style="15" customWidth="1"/>
    <col min="15119" max="15121" width="9.33203125" style="15" customWidth="1"/>
    <col min="15122" max="15122" width="15.6640625" style="15" customWidth="1"/>
    <col min="15123" max="15123" width="12.6640625" style="15" customWidth="1"/>
    <col min="15124" max="15362" width="10" style="15"/>
    <col min="15363" max="15363" width="7.6640625" style="15" customWidth="1"/>
    <col min="15364" max="15364" width="4.33203125" style="15" customWidth="1"/>
    <col min="15365" max="15366" width="6.83203125" style="15" customWidth="1"/>
    <col min="15367" max="15367" width="6.33203125" style="15" customWidth="1"/>
    <col min="15368" max="15368" width="9" style="15" customWidth="1"/>
    <col min="15369" max="15371" width="8.33203125" style="15" customWidth="1"/>
    <col min="15372" max="15372" width="7.6640625" style="15" customWidth="1"/>
    <col min="15373" max="15373" width="8.83203125" style="15" customWidth="1"/>
    <col min="15374" max="15374" width="10.33203125" style="15" customWidth="1"/>
    <col min="15375" max="15377" width="9.33203125" style="15" customWidth="1"/>
    <col min="15378" max="15378" width="15.6640625" style="15" customWidth="1"/>
    <col min="15379" max="15379" width="12.6640625" style="15" customWidth="1"/>
    <col min="15380" max="15618" width="10" style="15"/>
    <col min="15619" max="15619" width="7.6640625" style="15" customWidth="1"/>
    <col min="15620" max="15620" width="4.33203125" style="15" customWidth="1"/>
    <col min="15621" max="15622" width="6.83203125" style="15" customWidth="1"/>
    <col min="15623" max="15623" width="6.33203125" style="15" customWidth="1"/>
    <col min="15624" max="15624" width="9" style="15" customWidth="1"/>
    <col min="15625" max="15627" width="8.33203125" style="15" customWidth="1"/>
    <col min="15628" max="15628" width="7.6640625" style="15" customWidth="1"/>
    <col min="15629" max="15629" width="8.83203125" style="15" customWidth="1"/>
    <col min="15630" max="15630" width="10.33203125" style="15" customWidth="1"/>
    <col min="15631" max="15633" width="9.33203125" style="15" customWidth="1"/>
    <col min="15634" max="15634" width="15.6640625" style="15" customWidth="1"/>
    <col min="15635" max="15635" width="12.6640625" style="15" customWidth="1"/>
    <col min="15636" max="15874" width="10" style="15"/>
    <col min="15875" max="15875" width="7.6640625" style="15" customWidth="1"/>
    <col min="15876" max="15876" width="4.33203125" style="15" customWidth="1"/>
    <col min="15877" max="15878" width="6.83203125" style="15" customWidth="1"/>
    <col min="15879" max="15879" width="6.33203125" style="15" customWidth="1"/>
    <col min="15880" max="15880" width="9" style="15" customWidth="1"/>
    <col min="15881" max="15883" width="8.33203125" style="15" customWidth="1"/>
    <col min="15884" max="15884" width="7.6640625" style="15" customWidth="1"/>
    <col min="15885" max="15885" width="8.83203125" style="15" customWidth="1"/>
    <col min="15886" max="15886" width="10.33203125" style="15" customWidth="1"/>
    <col min="15887" max="15889" width="9.33203125" style="15" customWidth="1"/>
    <col min="15890" max="15890" width="15.6640625" style="15" customWidth="1"/>
    <col min="15891" max="15891" width="12.6640625" style="15" customWidth="1"/>
    <col min="15892" max="16130" width="10" style="15"/>
    <col min="16131" max="16131" width="7.6640625" style="15" customWidth="1"/>
    <col min="16132" max="16132" width="4.33203125" style="15" customWidth="1"/>
    <col min="16133" max="16134" width="6.83203125" style="15" customWidth="1"/>
    <col min="16135" max="16135" width="6.33203125" style="15" customWidth="1"/>
    <col min="16136" max="16136" width="9" style="15" customWidth="1"/>
    <col min="16137" max="16139" width="8.33203125" style="15" customWidth="1"/>
    <col min="16140" max="16140" width="7.6640625" style="15" customWidth="1"/>
    <col min="16141" max="16141" width="8.83203125" style="15" customWidth="1"/>
    <col min="16142" max="16142" width="10.33203125" style="15" customWidth="1"/>
    <col min="16143" max="16145" width="9.33203125" style="15" customWidth="1"/>
    <col min="16146" max="16146" width="15.6640625" style="15" customWidth="1"/>
    <col min="16147" max="16147" width="12.6640625" style="15" customWidth="1"/>
    <col min="16148" max="16384" width="10" style="15"/>
  </cols>
  <sheetData>
    <row r="1" spans="1:34" s="1" customFormat="1" ht="26.7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96"/>
      <c r="X1" s="2"/>
      <c r="Y1" s="3"/>
    </row>
    <row r="2" spans="1:34" s="1" customFormat="1" ht="26.75" customHeight="1">
      <c r="A2" s="116" t="s">
        <v>100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03"/>
      <c r="X2" s="2"/>
      <c r="Y2" s="3"/>
      <c r="Z2" s="8"/>
      <c r="AA2" s="8"/>
      <c r="AB2" s="8"/>
      <c r="AC2" s="8"/>
      <c r="AD2" s="8"/>
      <c r="AE2" s="8"/>
      <c r="AF2" s="8"/>
      <c r="AG2" s="8"/>
      <c r="AH2" s="8"/>
    </row>
    <row r="3" spans="1:34" ht="14.25" customHeight="1">
      <c r="A3" s="123" t="s">
        <v>77</v>
      </c>
      <c r="B3" s="123" t="s">
        <v>1</v>
      </c>
      <c r="C3" s="120" t="s">
        <v>37</v>
      </c>
      <c r="D3" s="120"/>
      <c r="E3" s="120"/>
      <c r="F3" s="120"/>
      <c r="G3" s="120"/>
      <c r="H3" s="120"/>
      <c r="I3" s="120" t="s">
        <v>38</v>
      </c>
      <c r="J3" s="120"/>
      <c r="K3" s="120"/>
      <c r="L3" s="120"/>
      <c r="M3" s="120"/>
      <c r="N3" s="111" t="s">
        <v>39</v>
      </c>
      <c r="O3" s="118" t="s">
        <v>81</v>
      </c>
      <c r="P3" s="118"/>
      <c r="Q3" s="118"/>
      <c r="R3" s="118" t="s">
        <v>40</v>
      </c>
      <c r="S3" s="118" t="s">
        <v>41</v>
      </c>
      <c r="T3" s="119" t="s">
        <v>78</v>
      </c>
      <c r="U3" s="119" t="s">
        <v>8</v>
      </c>
      <c r="V3" s="119" t="s">
        <v>123</v>
      </c>
      <c r="X3" s="12" t="s">
        <v>57</v>
      </c>
      <c r="Y3" s="9" t="s">
        <v>34</v>
      </c>
      <c r="Z3" s="8"/>
      <c r="AA3" s="8"/>
      <c r="AB3" s="8"/>
      <c r="AC3" s="8"/>
      <c r="AD3" s="8"/>
      <c r="AE3" s="8"/>
      <c r="AF3" s="8"/>
      <c r="AG3" s="8"/>
      <c r="AH3" s="8"/>
    </row>
    <row r="4" spans="1:34" ht="34.25" customHeight="1">
      <c r="A4" s="124"/>
      <c r="B4" s="124"/>
      <c r="C4" s="7" t="s">
        <v>42</v>
      </c>
      <c r="D4" s="75" t="s">
        <v>84</v>
      </c>
      <c r="E4" s="76" t="s">
        <v>44</v>
      </c>
      <c r="F4" s="75" t="s">
        <v>45</v>
      </c>
      <c r="G4" s="75" t="s">
        <v>46</v>
      </c>
      <c r="H4" s="59" t="s">
        <v>43</v>
      </c>
      <c r="I4" s="75" t="s">
        <v>85</v>
      </c>
      <c r="J4" s="75" t="s">
        <v>86</v>
      </c>
      <c r="K4" s="75" t="s">
        <v>87</v>
      </c>
      <c r="L4" s="75" t="s">
        <v>47</v>
      </c>
      <c r="M4" s="36" t="s">
        <v>43</v>
      </c>
      <c r="N4" s="111"/>
      <c r="O4" s="36" t="s">
        <v>48</v>
      </c>
      <c r="P4" s="36" t="s">
        <v>49</v>
      </c>
      <c r="Q4" s="36" t="s">
        <v>32</v>
      </c>
      <c r="R4" s="118"/>
      <c r="S4" s="118"/>
      <c r="T4" s="119"/>
      <c r="U4" s="119"/>
      <c r="V4" s="119"/>
      <c r="X4" s="12" t="s">
        <v>48</v>
      </c>
      <c r="Y4" s="57">
        <f>H15</f>
        <v>0</v>
      </c>
      <c r="Z4" s="8"/>
      <c r="AA4" s="8"/>
      <c r="AB4" s="8"/>
      <c r="AC4" s="8"/>
      <c r="AD4" s="8"/>
      <c r="AE4" s="8"/>
      <c r="AF4" s="8"/>
      <c r="AG4" s="8"/>
      <c r="AH4" s="8"/>
    </row>
    <row r="5" spans="1:34" ht="19.5" customHeight="1">
      <c r="A5" s="41">
        <v>1</v>
      </c>
      <c r="B5" s="9" t="s">
        <v>50</v>
      </c>
      <c r="C5" s="82"/>
      <c r="D5" s="82"/>
      <c r="E5" s="82"/>
      <c r="F5" s="68"/>
      <c r="G5" s="66"/>
      <c r="H5" s="58">
        <f t="shared" ref="H5:H9" si="0">ROUND(SUM(C5:G5),0)</f>
        <v>0</v>
      </c>
      <c r="I5" s="10"/>
      <c r="J5" s="10"/>
      <c r="K5" s="10"/>
      <c r="L5" s="92"/>
      <c r="M5" s="34">
        <f t="shared" ref="M5:M10" si="1">ROUND(SUM(I5:L5),0)</f>
        <v>0</v>
      </c>
      <c r="N5" s="34">
        <f t="shared" ref="N5:N9" si="2">H5+M5</f>
        <v>0</v>
      </c>
      <c r="O5" s="91">
        <f t="shared" ref="O5:O14" si="3">IF(H5&lt;8000,H5*0.2,1600)</f>
        <v>0</v>
      </c>
      <c r="P5" s="34">
        <f t="shared" ref="P5:P10" si="4">M5*0.2</f>
        <v>0</v>
      </c>
      <c r="Q5" s="34">
        <f t="shared" ref="Q5:Q10" si="5">ROUND(O5+P5,0)</f>
        <v>0</v>
      </c>
      <c r="R5" s="34"/>
      <c r="S5" s="60">
        <f t="shared" ref="S5" si="6">ROUND(Q5+R5,0)</f>
        <v>0</v>
      </c>
      <c r="T5" s="80">
        <f t="shared" ref="T5:T10" si="7">ROUND(N5-S5,0)</f>
        <v>0</v>
      </c>
      <c r="U5" s="11"/>
      <c r="V5" s="104" t="s">
        <v>141</v>
      </c>
      <c r="X5" s="12" t="s">
        <v>49</v>
      </c>
      <c r="Y5" s="57">
        <f>M15</f>
        <v>0</v>
      </c>
      <c r="Z5" s="8"/>
      <c r="AA5" s="8"/>
      <c r="AB5" s="8"/>
      <c r="AC5" s="8"/>
      <c r="AD5" s="8"/>
      <c r="AE5" s="8"/>
      <c r="AF5" s="8"/>
      <c r="AG5" s="8"/>
      <c r="AH5" s="8"/>
    </row>
    <row r="6" spans="1:34" ht="27" customHeight="1">
      <c r="A6" s="9">
        <v>2</v>
      </c>
      <c r="B6" s="9" t="s">
        <v>51</v>
      </c>
      <c r="C6" s="82"/>
      <c r="D6" s="82"/>
      <c r="E6" s="82"/>
      <c r="F6" s="68"/>
      <c r="G6" s="66"/>
      <c r="H6" s="58">
        <f t="shared" si="0"/>
        <v>0</v>
      </c>
      <c r="I6" s="10"/>
      <c r="J6" s="10"/>
      <c r="K6" s="10"/>
      <c r="L6" s="92"/>
      <c r="M6" s="34">
        <f t="shared" si="1"/>
        <v>0</v>
      </c>
      <c r="N6" s="34">
        <f t="shared" si="2"/>
        <v>0</v>
      </c>
      <c r="O6" s="91">
        <f t="shared" si="3"/>
        <v>0</v>
      </c>
      <c r="P6" s="34">
        <f t="shared" si="4"/>
        <v>0</v>
      </c>
      <c r="Q6" s="34">
        <f t="shared" si="5"/>
        <v>0</v>
      </c>
      <c r="R6" s="34"/>
      <c r="S6" s="60">
        <f>ROUND(Q6+R6,0)</f>
        <v>0</v>
      </c>
      <c r="T6" s="80">
        <f t="shared" si="7"/>
        <v>0</v>
      </c>
      <c r="U6" s="61"/>
      <c r="V6" s="106" t="s">
        <v>142</v>
      </c>
      <c r="X6" s="12" t="s">
        <v>58</v>
      </c>
      <c r="Y6" s="57">
        <f>K15</f>
        <v>0</v>
      </c>
      <c r="Z6" s="8"/>
      <c r="AA6" s="8"/>
      <c r="AB6" s="8"/>
      <c r="AC6" s="8"/>
      <c r="AD6" s="8"/>
      <c r="AE6" s="8"/>
      <c r="AF6" s="8"/>
      <c r="AG6" s="8"/>
      <c r="AH6" s="8"/>
    </row>
    <row r="7" spans="1:34" ht="19.5" customHeight="1">
      <c r="A7" s="41">
        <v>3</v>
      </c>
      <c r="B7" s="9" t="s">
        <v>52</v>
      </c>
      <c r="C7" s="74"/>
      <c r="D7" s="82"/>
      <c r="E7" s="82"/>
      <c r="F7" s="68"/>
      <c r="G7" s="66"/>
      <c r="H7" s="58">
        <f t="shared" si="0"/>
        <v>0</v>
      </c>
      <c r="I7" s="10"/>
      <c r="J7" s="10"/>
      <c r="K7" s="10"/>
      <c r="L7" s="92"/>
      <c r="M7" s="34">
        <f t="shared" si="1"/>
        <v>0</v>
      </c>
      <c r="N7" s="34">
        <f t="shared" si="2"/>
        <v>0</v>
      </c>
      <c r="O7" s="91">
        <f t="shared" si="3"/>
        <v>0</v>
      </c>
      <c r="P7" s="34">
        <f t="shared" si="4"/>
        <v>0</v>
      </c>
      <c r="Q7" s="34">
        <f t="shared" si="5"/>
        <v>0</v>
      </c>
      <c r="R7" s="34"/>
      <c r="S7" s="60">
        <f t="shared" ref="S7:S10" si="8">ROUND(Q7+R7,0)</f>
        <v>0</v>
      </c>
      <c r="T7" s="80">
        <f t="shared" si="7"/>
        <v>0</v>
      </c>
      <c r="U7" s="11"/>
      <c r="V7" s="104" t="s">
        <v>143</v>
      </c>
      <c r="X7" s="12" t="s">
        <v>59</v>
      </c>
      <c r="Y7" s="57">
        <f>Q15</f>
        <v>0</v>
      </c>
      <c r="Z7" s="8"/>
      <c r="AA7" s="8"/>
      <c r="AB7" s="8"/>
      <c r="AC7" s="8"/>
      <c r="AD7" s="8"/>
      <c r="AE7" s="8"/>
      <c r="AF7" s="8"/>
      <c r="AG7" s="8"/>
      <c r="AH7" s="8"/>
    </row>
    <row r="8" spans="1:34" ht="33.75" customHeight="1">
      <c r="A8" s="9">
        <v>4</v>
      </c>
      <c r="B8" s="9" t="s">
        <v>90</v>
      </c>
      <c r="C8" s="74"/>
      <c r="D8" s="82"/>
      <c r="E8" s="82"/>
      <c r="F8" s="68"/>
      <c r="G8" s="66"/>
      <c r="H8" s="58">
        <f t="shared" si="0"/>
        <v>0</v>
      </c>
      <c r="I8" s="10"/>
      <c r="J8" s="10"/>
      <c r="K8" s="10"/>
      <c r="L8" s="92"/>
      <c r="M8" s="34">
        <f t="shared" si="1"/>
        <v>0</v>
      </c>
      <c r="N8" s="34">
        <f t="shared" si="2"/>
        <v>0</v>
      </c>
      <c r="O8" s="91">
        <f t="shared" si="3"/>
        <v>0</v>
      </c>
      <c r="P8" s="34">
        <f t="shared" si="4"/>
        <v>0</v>
      </c>
      <c r="Q8" s="34">
        <f t="shared" si="5"/>
        <v>0</v>
      </c>
      <c r="R8" s="34"/>
      <c r="S8" s="60">
        <f t="shared" si="8"/>
        <v>0</v>
      </c>
      <c r="T8" s="80">
        <f t="shared" si="7"/>
        <v>0</v>
      </c>
      <c r="U8" s="11"/>
      <c r="V8" s="104" t="s">
        <v>144</v>
      </c>
      <c r="X8" s="35" t="s">
        <v>64</v>
      </c>
      <c r="Y8" s="57">
        <f>Y4+Y5</f>
        <v>0</v>
      </c>
      <c r="Z8" s="8"/>
      <c r="AA8" s="8"/>
      <c r="AB8" s="8"/>
      <c r="AC8" s="8"/>
      <c r="AD8" s="8"/>
      <c r="AE8" s="8"/>
      <c r="AF8" s="8"/>
      <c r="AG8" s="8"/>
      <c r="AH8" s="8"/>
    </row>
    <row r="9" spans="1:34" ht="19.5" customHeight="1">
      <c r="A9" s="41">
        <v>5</v>
      </c>
      <c r="B9" s="14" t="s">
        <v>97</v>
      </c>
      <c r="C9" s="74"/>
      <c r="D9" s="82"/>
      <c r="E9" s="82"/>
      <c r="F9" s="68"/>
      <c r="G9" s="66"/>
      <c r="H9" s="58">
        <f t="shared" si="0"/>
        <v>0</v>
      </c>
      <c r="I9" s="10"/>
      <c r="J9" s="10"/>
      <c r="K9" s="10"/>
      <c r="L9" s="92"/>
      <c r="M9" s="34">
        <f t="shared" si="1"/>
        <v>0</v>
      </c>
      <c r="N9" s="34">
        <f t="shared" si="2"/>
        <v>0</v>
      </c>
      <c r="O9" s="91">
        <f t="shared" si="3"/>
        <v>0</v>
      </c>
      <c r="P9" s="34">
        <f t="shared" si="4"/>
        <v>0</v>
      </c>
      <c r="Q9" s="34">
        <f t="shared" si="5"/>
        <v>0</v>
      </c>
      <c r="R9" s="34"/>
      <c r="S9" s="60">
        <f t="shared" si="8"/>
        <v>0</v>
      </c>
      <c r="T9" s="80">
        <f t="shared" si="7"/>
        <v>0</v>
      </c>
      <c r="U9" s="11"/>
      <c r="V9" s="104" t="s">
        <v>147</v>
      </c>
      <c r="X9" s="28" t="s">
        <v>79</v>
      </c>
      <c r="Y9" s="57">
        <f>Q15</f>
        <v>0</v>
      </c>
      <c r="Z9" s="8"/>
      <c r="AA9" s="8"/>
      <c r="AB9" s="8"/>
      <c r="AC9" s="8"/>
      <c r="AD9" s="8"/>
      <c r="AE9" s="8"/>
      <c r="AF9" s="8"/>
      <c r="AG9" s="8"/>
      <c r="AH9" s="8"/>
    </row>
    <row r="10" spans="1:34" ht="19.5" customHeight="1">
      <c r="A10" s="9">
        <v>6</v>
      </c>
      <c r="B10" s="9" t="s">
        <v>98</v>
      </c>
      <c r="C10" s="74"/>
      <c r="D10" s="82"/>
      <c r="E10" s="82"/>
      <c r="F10" s="68"/>
      <c r="G10" s="66"/>
      <c r="H10" s="58">
        <f>ROUND(SUM(C10:G10),0)</f>
        <v>0</v>
      </c>
      <c r="I10" s="10"/>
      <c r="J10" s="10"/>
      <c r="K10" s="10"/>
      <c r="L10" s="92"/>
      <c r="M10" s="34">
        <f t="shared" si="1"/>
        <v>0</v>
      </c>
      <c r="N10" s="34">
        <f>H10+M10</f>
        <v>0</v>
      </c>
      <c r="O10" s="91">
        <f t="shared" si="3"/>
        <v>0</v>
      </c>
      <c r="P10" s="34">
        <f t="shared" si="4"/>
        <v>0</v>
      </c>
      <c r="Q10" s="34">
        <f t="shared" si="5"/>
        <v>0</v>
      </c>
      <c r="R10" s="34"/>
      <c r="S10" s="60">
        <f t="shared" si="8"/>
        <v>0</v>
      </c>
      <c r="T10" s="80">
        <f t="shared" si="7"/>
        <v>0</v>
      </c>
      <c r="U10" s="11"/>
      <c r="V10" s="104" t="s">
        <v>145</v>
      </c>
      <c r="X10" s="12" t="s">
        <v>40</v>
      </c>
      <c r="Y10" s="57">
        <f>R15</f>
        <v>0</v>
      </c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1" customHeight="1">
      <c r="A11" s="41">
        <v>7</v>
      </c>
      <c r="B11" s="9" t="s">
        <v>102</v>
      </c>
      <c r="C11" s="93"/>
      <c r="D11" s="82"/>
      <c r="E11" s="82"/>
      <c r="F11" s="68"/>
      <c r="G11" s="66"/>
      <c r="H11" s="58">
        <f>ROUND(SUM(C11:G11),0)</f>
        <v>0</v>
      </c>
      <c r="I11" s="10"/>
      <c r="J11" s="10"/>
      <c r="K11" s="10"/>
      <c r="L11" s="10"/>
      <c r="M11" s="34">
        <f t="shared" ref="M11:M14" si="9">ROUND(SUM(I11:L11),0)</f>
        <v>0</v>
      </c>
      <c r="N11" s="34">
        <f>H11+M11</f>
        <v>0</v>
      </c>
      <c r="O11" s="91">
        <f t="shared" si="3"/>
        <v>0</v>
      </c>
      <c r="P11" s="34">
        <f t="shared" ref="P11:P14" si="10">M11*0.2</f>
        <v>0</v>
      </c>
      <c r="Q11" s="34">
        <f t="shared" ref="Q11:Q14" si="11">ROUND(O11+P11,0)</f>
        <v>0</v>
      </c>
      <c r="R11" s="34"/>
      <c r="S11" s="60">
        <f t="shared" ref="S11:S14" si="12">ROUND(Q11+R11,0)</f>
        <v>0</v>
      </c>
      <c r="T11" s="80">
        <f t="shared" ref="T11:T14" si="13">ROUND(N11-S11,0)</f>
        <v>0</v>
      </c>
      <c r="U11" s="54"/>
      <c r="V11" s="104" t="s">
        <v>146</v>
      </c>
      <c r="X11" s="12" t="s">
        <v>80</v>
      </c>
      <c r="Y11" s="57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19.5" customHeight="1">
      <c r="A12" s="9">
        <v>8</v>
      </c>
      <c r="B12" s="9"/>
      <c r="C12" s="91"/>
      <c r="D12" s="91"/>
      <c r="E12" s="91"/>
      <c r="F12" s="34"/>
      <c r="G12" s="34"/>
      <c r="H12" s="58">
        <f t="shared" ref="H12:H14" si="14">ROUND(SUM(C12:G12),0)</f>
        <v>0</v>
      </c>
      <c r="I12" s="10"/>
      <c r="J12" s="10"/>
      <c r="K12" s="10"/>
      <c r="L12" s="10"/>
      <c r="M12" s="34">
        <f t="shared" si="9"/>
        <v>0</v>
      </c>
      <c r="N12" s="34">
        <f t="shared" ref="N12:N14" si="15">H12+M12</f>
        <v>0</v>
      </c>
      <c r="O12" s="91">
        <f t="shared" si="3"/>
        <v>0</v>
      </c>
      <c r="P12" s="34">
        <f t="shared" si="10"/>
        <v>0</v>
      </c>
      <c r="Q12" s="34">
        <f t="shared" si="11"/>
        <v>0</v>
      </c>
      <c r="R12" s="34"/>
      <c r="S12" s="60">
        <f t="shared" si="12"/>
        <v>0</v>
      </c>
      <c r="T12" s="80">
        <f t="shared" si="13"/>
        <v>0</v>
      </c>
      <c r="U12" s="11"/>
      <c r="V12" s="11"/>
      <c r="X12" s="12" t="s">
        <v>60</v>
      </c>
      <c r="Y12" s="57">
        <f>Y8-Y9-Y10+Y11</f>
        <v>0</v>
      </c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9.5" customHeight="1">
      <c r="A13" s="41">
        <v>9</v>
      </c>
      <c r="B13" s="9"/>
      <c r="C13" s="91"/>
      <c r="D13" s="91"/>
      <c r="E13" s="91"/>
      <c r="F13" s="34"/>
      <c r="G13" s="34"/>
      <c r="H13" s="58">
        <f t="shared" si="14"/>
        <v>0</v>
      </c>
      <c r="I13" s="10"/>
      <c r="J13" s="10"/>
      <c r="K13" s="10"/>
      <c r="L13" s="10"/>
      <c r="M13" s="34">
        <f t="shared" si="9"/>
        <v>0</v>
      </c>
      <c r="N13" s="34">
        <f t="shared" si="15"/>
        <v>0</v>
      </c>
      <c r="O13" s="34">
        <f t="shared" si="3"/>
        <v>0</v>
      </c>
      <c r="P13" s="34">
        <f t="shared" si="10"/>
        <v>0</v>
      </c>
      <c r="Q13" s="34">
        <f t="shared" si="11"/>
        <v>0</v>
      </c>
      <c r="R13" s="34"/>
      <c r="S13" s="60">
        <f t="shared" si="12"/>
        <v>0</v>
      </c>
      <c r="T13" s="80">
        <f t="shared" si="13"/>
        <v>0</v>
      </c>
      <c r="U13" s="11"/>
      <c r="V13" s="11"/>
      <c r="X13" s="122" t="str">
        <f>IF(Y12-T15=0,"左右一致","与工资发放表（左表）汇总数不一致")</f>
        <v>左右一致</v>
      </c>
      <c r="Y13" s="122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9.5" customHeight="1">
      <c r="A14" s="9"/>
      <c r="B14" s="9"/>
      <c r="C14" s="34"/>
      <c r="D14" s="34"/>
      <c r="E14" s="34"/>
      <c r="F14" s="34"/>
      <c r="G14" s="34"/>
      <c r="H14" s="58">
        <f t="shared" si="14"/>
        <v>0</v>
      </c>
      <c r="I14" s="10"/>
      <c r="J14" s="10"/>
      <c r="K14" s="10"/>
      <c r="L14" s="10"/>
      <c r="M14" s="34">
        <f t="shared" si="9"/>
        <v>0</v>
      </c>
      <c r="N14" s="34">
        <f t="shared" si="15"/>
        <v>0</v>
      </c>
      <c r="O14" s="34">
        <f t="shared" si="3"/>
        <v>0</v>
      </c>
      <c r="P14" s="34">
        <f t="shared" si="10"/>
        <v>0</v>
      </c>
      <c r="Q14" s="34">
        <f t="shared" si="11"/>
        <v>0</v>
      </c>
      <c r="R14" s="34"/>
      <c r="S14" s="60">
        <f t="shared" si="12"/>
        <v>0</v>
      </c>
      <c r="T14" s="80">
        <f t="shared" si="13"/>
        <v>0</v>
      </c>
      <c r="U14" s="11"/>
      <c r="V14" s="11"/>
    </row>
    <row r="15" spans="1:34" ht="19.5" customHeight="1">
      <c r="A15" s="119" t="s">
        <v>32</v>
      </c>
      <c r="B15" s="119"/>
      <c r="C15" s="16">
        <f t="shared" ref="C15:T15" si="16">SUM(C5:C14)</f>
        <v>0</v>
      </c>
      <c r="D15" s="16">
        <f t="shared" si="16"/>
        <v>0</v>
      </c>
      <c r="E15" s="16">
        <f t="shared" si="16"/>
        <v>0</v>
      </c>
      <c r="F15" s="16">
        <f t="shared" si="16"/>
        <v>0</v>
      </c>
      <c r="G15" s="16">
        <f t="shared" si="16"/>
        <v>0</v>
      </c>
      <c r="H15" s="42">
        <f t="shared" si="16"/>
        <v>0</v>
      </c>
      <c r="I15" s="16">
        <f t="shared" si="16"/>
        <v>0</v>
      </c>
      <c r="J15" s="16">
        <f t="shared" si="16"/>
        <v>0</v>
      </c>
      <c r="K15" s="16">
        <f t="shared" si="16"/>
        <v>0</v>
      </c>
      <c r="L15" s="16">
        <f t="shared" si="16"/>
        <v>0</v>
      </c>
      <c r="M15" s="16">
        <f t="shared" si="16"/>
        <v>0</v>
      </c>
      <c r="N15" s="38">
        <f t="shared" si="16"/>
        <v>0</v>
      </c>
      <c r="O15" s="38">
        <f t="shared" si="16"/>
        <v>0</v>
      </c>
      <c r="P15" s="38">
        <f t="shared" si="16"/>
        <v>0</v>
      </c>
      <c r="Q15" s="38">
        <f t="shared" si="16"/>
        <v>0</v>
      </c>
      <c r="R15" s="38">
        <f t="shared" si="16"/>
        <v>0</v>
      </c>
      <c r="S15" s="38">
        <f t="shared" si="16"/>
        <v>0</v>
      </c>
      <c r="T15" s="38">
        <f t="shared" si="16"/>
        <v>0</v>
      </c>
      <c r="U15" s="62"/>
      <c r="V15" s="62"/>
    </row>
    <row r="16" spans="1:34" ht="19.5" customHeight="1">
      <c r="A16" s="29"/>
      <c r="B16" s="29"/>
      <c r="C16" s="19"/>
      <c r="D16" s="19"/>
      <c r="E16" s="19"/>
      <c r="F16" s="19"/>
      <c r="G16" s="19"/>
      <c r="H16" s="20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30"/>
      <c r="V16" s="30"/>
    </row>
    <row r="17" spans="1:23" ht="19.5" customHeight="1">
      <c r="A17" s="29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95"/>
    </row>
    <row r="18" spans="1:23" ht="20.25" customHeight="1">
      <c r="A18" s="2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95"/>
    </row>
    <row r="19" spans="1:23" ht="19.5" customHeight="1">
      <c r="A19" s="29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95"/>
    </row>
    <row r="20" spans="1:23" ht="22.5" customHeight="1">
      <c r="A20" s="2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95"/>
    </row>
    <row r="21" spans="1:23" ht="22.5" customHeight="1">
      <c r="A21" s="29"/>
      <c r="B21" s="121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95"/>
    </row>
    <row r="22" spans="1:23" ht="22.5" customHeight="1">
      <c r="A22" s="29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95"/>
    </row>
    <row r="23" spans="1:23" ht="19.5" customHeight="1">
      <c r="A23" s="29"/>
      <c r="B23" s="2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30"/>
      <c r="V23" s="30"/>
    </row>
    <row r="24" spans="1:23" ht="19.5" customHeight="1">
      <c r="A24" s="29"/>
      <c r="B24" s="117" t="s">
        <v>55</v>
      </c>
      <c r="C24" s="117"/>
      <c r="D24" s="117"/>
      <c r="E24" s="11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2"/>
      <c r="T24" s="32" t="s">
        <v>56</v>
      </c>
      <c r="U24" s="33"/>
      <c r="V24" s="33"/>
    </row>
    <row r="25" spans="1:23">
      <c r="A25" s="29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  <c r="T25" s="32"/>
      <c r="U25" s="33"/>
      <c r="V25" s="33"/>
      <c r="W25" s="33"/>
    </row>
  </sheetData>
  <mergeCells count="22">
    <mergeCell ref="X13:Y13"/>
    <mergeCell ref="A3:A4"/>
    <mergeCell ref="B3:B4"/>
    <mergeCell ref="A15:B15"/>
    <mergeCell ref="A1:U1"/>
    <mergeCell ref="A2:U2"/>
    <mergeCell ref="V3:V4"/>
    <mergeCell ref="B17:U17"/>
    <mergeCell ref="B18:U18"/>
    <mergeCell ref="B24:E24"/>
    <mergeCell ref="R3:R4"/>
    <mergeCell ref="S3:S4"/>
    <mergeCell ref="T3:T4"/>
    <mergeCell ref="U3:U4"/>
    <mergeCell ref="C3:H3"/>
    <mergeCell ref="I3:M3"/>
    <mergeCell ref="N3:N4"/>
    <mergeCell ref="O3:Q3"/>
    <mergeCell ref="B19:U19"/>
    <mergeCell ref="B20:U20"/>
    <mergeCell ref="B22:U22"/>
    <mergeCell ref="B21:U21"/>
  </mergeCells>
  <phoneticPr fontId="4" type="noConversion"/>
  <conditionalFormatting sqref="X13:Y13">
    <cfRule type="containsText" dxfId="5" priority="1" operator="containsText" text="不一致">
      <formula>NOT(ISERROR(SEARCH("不一致",X13)))</formula>
    </cfRule>
  </conditionalFormatting>
  <conditionalFormatting sqref="Y12">
    <cfRule type="cellIs" dxfId="4" priority="2" operator="equal">
      <formula>$T$15</formula>
    </cfRule>
  </conditionalFormatting>
  <hyperlinks>
    <hyperlink ref="V5" r:id="rId1" xr:uid="{6544FA6A-A19F-4FD6-AF46-731AA1D42AB5}"/>
    <hyperlink ref="V6" r:id="rId2" xr:uid="{394225FE-6871-4A5F-B5F9-A78E5C849CB6}"/>
    <hyperlink ref="V7" r:id="rId3" xr:uid="{B7A22F91-E25E-4FF0-B4EB-72CB0F9A36F3}"/>
    <hyperlink ref="V8" r:id="rId4" xr:uid="{49327E52-4F4D-472C-8567-32B10DFEAC3E}"/>
    <hyperlink ref="V10" r:id="rId5" xr:uid="{1AD325ED-FC29-40F3-BFB9-B354C8242ED0}"/>
    <hyperlink ref="V11" r:id="rId6" xr:uid="{180ACA3E-C488-4C0B-84BC-412833D617A4}"/>
    <hyperlink ref="V9" r:id="rId7" xr:uid="{47CEE470-8619-422D-A9D4-1879B9EA8870}"/>
  </hyperlinks>
  <printOptions horizontalCentered="1"/>
  <pageMargins left="0.24" right="0.47" top="0.79" bottom="0.19685039370078741" header="0.2" footer="0.28000000000000003"/>
  <pageSetup paperSize="9" scale="71" firstPageNumber="4294963191" orientation="landscape" r:id="rId8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87A6-765F-4E18-BD3A-E332FB31D92A}">
  <sheetPr>
    <pageSetUpPr fitToPage="1"/>
  </sheetPr>
  <dimension ref="A1:AH21"/>
  <sheetViews>
    <sheetView zoomScale="85" zoomScaleNormal="85" workbookViewId="0">
      <selection activeCell="V9" sqref="V9"/>
    </sheetView>
  </sheetViews>
  <sheetFormatPr baseColWidth="10" defaultColWidth="10" defaultRowHeight="13"/>
  <cols>
    <col min="1" max="1" width="3.83203125" style="26" customWidth="1"/>
    <col min="2" max="2" width="14.6640625" style="15" customWidth="1"/>
    <col min="3" max="3" width="8.33203125" style="15" customWidth="1"/>
    <col min="4" max="4" width="7.33203125" style="15" customWidth="1"/>
    <col min="5" max="5" width="8.6640625" style="24" customWidth="1"/>
    <col min="6" max="6" width="8.5" style="24" customWidth="1"/>
    <col min="7" max="7" width="7.33203125" style="24" customWidth="1"/>
    <col min="8" max="8" width="9" style="25" customWidth="1"/>
    <col min="9" max="9" width="7" style="24" customWidth="1"/>
    <col min="10" max="10" width="7.83203125" style="24" customWidth="1"/>
    <col min="11" max="11" width="7" style="24" customWidth="1"/>
    <col min="12" max="12" width="8.5" style="24" customWidth="1"/>
    <col min="13" max="13" width="8" style="24" customWidth="1"/>
    <col min="14" max="14" width="8.83203125" style="24" customWidth="1"/>
    <col min="15" max="15" width="8.5" style="24" customWidth="1"/>
    <col min="16" max="16" width="8.33203125" style="24" customWidth="1"/>
    <col min="17" max="17" width="7.6640625" style="15" customWidth="1"/>
    <col min="18" max="18" width="8" style="26" customWidth="1"/>
    <col min="19" max="19" width="7.6640625" style="15" customWidth="1"/>
    <col min="20" max="20" width="10.33203125" style="15" customWidth="1"/>
    <col min="21" max="21" width="29.33203125" style="15" customWidth="1"/>
    <col min="22" max="22" width="23.83203125" style="15" customWidth="1"/>
    <col min="23" max="23" width="9" style="15" customWidth="1"/>
    <col min="24" max="24" width="24.5" style="15" customWidth="1"/>
    <col min="25" max="25" width="17" style="15" customWidth="1"/>
    <col min="26" max="26" width="9.33203125" style="15" customWidth="1"/>
    <col min="27" max="32" width="7.83203125" style="15" customWidth="1"/>
    <col min="33" max="33" width="10" style="15"/>
    <col min="34" max="34" width="21.33203125" style="15" customWidth="1"/>
    <col min="35" max="258" width="10" style="15"/>
    <col min="259" max="259" width="7.6640625" style="15" customWidth="1"/>
    <col min="260" max="260" width="4.33203125" style="15" customWidth="1"/>
    <col min="261" max="262" width="6.83203125" style="15" customWidth="1"/>
    <col min="263" max="263" width="6.33203125" style="15" customWidth="1"/>
    <col min="264" max="264" width="9" style="15" customWidth="1"/>
    <col min="265" max="267" width="8.33203125" style="15" customWidth="1"/>
    <col min="268" max="268" width="7.6640625" style="15" customWidth="1"/>
    <col min="269" max="269" width="8.83203125" style="15" customWidth="1"/>
    <col min="270" max="270" width="10.33203125" style="15" customWidth="1"/>
    <col min="271" max="273" width="9.33203125" style="15" customWidth="1"/>
    <col min="274" max="274" width="15.6640625" style="15" customWidth="1"/>
    <col min="275" max="275" width="12.6640625" style="15" customWidth="1"/>
    <col min="276" max="514" width="10" style="15"/>
    <col min="515" max="515" width="7.6640625" style="15" customWidth="1"/>
    <col min="516" max="516" width="4.33203125" style="15" customWidth="1"/>
    <col min="517" max="518" width="6.83203125" style="15" customWidth="1"/>
    <col min="519" max="519" width="6.33203125" style="15" customWidth="1"/>
    <col min="520" max="520" width="9" style="15" customWidth="1"/>
    <col min="521" max="523" width="8.33203125" style="15" customWidth="1"/>
    <col min="524" max="524" width="7.6640625" style="15" customWidth="1"/>
    <col min="525" max="525" width="8.83203125" style="15" customWidth="1"/>
    <col min="526" max="526" width="10.33203125" style="15" customWidth="1"/>
    <col min="527" max="529" width="9.33203125" style="15" customWidth="1"/>
    <col min="530" max="530" width="15.6640625" style="15" customWidth="1"/>
    <col min="531" max="531" width="12.6640625" style="15" customWidth="1"/>
    <col min="532" max="770" width="10" style="15"/>
    <col min="771" max="771" width="7.6640625" style="15" customWidth="1"/>
    <col min="772" max="772" width="4.33203125" style="15" customWidth="1"/>
    <col min="773" max="774" width="6.83203125" style="15" customWidth="1"/>
    <col min="775" max="775" width="6.33203125" style="15" customWidth="1"/>
    <col min="776" max="776" width="9" style="15" customWidth="1"/>
    <col min="777" max="779" width="8.33203125" style="15" customWidth="1"/>
    <col min="780" max="780" width="7.6640625" style="15" customWidth="1"/>
    <col min="781" max="781" width="8.83203125" style="15" customWidth="1"/>
    <col min="782" max="782" width="10.33203125" style="15" customWidth="1"/>
    <col min="783" max="785" width="9.33203125" style="15" customWidth="1"/>
    <col min="786" max="786" width="15.6640625" style="15" customWidth="1"/>
    <col min="787" max="787" width="12.6640625" style="15" customWidth="1"/>
    <col min="788" max="1026" width="10" style="15"/>
    <col min="1027" max="1027" width="7.6640625" style="15" customWidth="1"/>
    <col min="1028" max="1028" width="4.33203125" style="15" customWidth="1"/>
    <col min="1029" max="1030" width="6.83203125" style="15" customWidth="1"/>
    <col min="1031" max="1031" width="6.33203125" style="15" customWidth="1"/>
    <col min="1032" max="1032" width="9" style="15" customWidth="1"/>
    <col min="1033" max="1035" width="8.33203125" style="15" customWidth="1"/>
    <col min="1036" max="1036" width="7.6640625" style="15" customWidth="1"/>
    <col min="1037" max="1037" width="8.83203125" style="15" customWidth="1"/>
    <col min="1038" max="1038" width="10.33203125" style="15" customWidth="1"/>
    <col min="1039" max="1041" width="9.33203125" style="15" customWidth="1"/>
    <col min="1042" max="1042" width="15.6640625" style="15" customWidth="1"/>
    <col min="1043" max="1043" width="12.6640625" style="15" customWidth="1"/>
    <col min="1044" max="1282" width="10" style="15"/>
    <col min="1283" max="1283" width="7.6640625" style="15" customWidth="1"/>
    <col min="1284" max="1284" width="4.33203125" style="15" customWidth="1"/>
    <col min="1285" max="1286" width="6.83203125" style="15" customWidth="1"/>
    <col min="1287" max="1287" width="6.33203125" style="15" customWidth="1"/>
    <col min="1288" max="1288" width="9" style="15" customWidth="1"/>
    <col min="1289" max="1291" width="8.33203125" style="15" customWidth="1"/>
    <col min="1292" max="1292" width="7.6640625" style="15" customWidth="1"/>
    <col min="1293" max="1293" width="8.83203125" style="15" customWidth="1"/>
    <col min="1294" max="1294" width="10.33203125" style="15" customWidth="1"/>
    <col min="1295" max="1297" width="9.33203125" style="15" customWidth="1"/>
    <col min="1298" max="1298" width="15.6640625" style="15" customWidth="1"/>
    <col min="1299" max="1299" width="12.6640625" style="15" customWidth="1"/>
    <col min="1300" max="1538" width="10" style="15"/>
    <col min="1539" max="1539" width="7.6640625" style="15" customWidth="1"/>
    <col min="1540" max="1540" width="4.33203125" style="15" customWidth="1"/>
    <col min="1541" max="1542" width="6.83203125" style="15" customWidth="1"/>
    <col min="1543" max="1543" width="6.33203125" style="15" customWidth="1"/>
    <col min="1544" max="1544" width="9" style="15" customWidth="1"/>
    <col min="1545" max="1547" width="8.33203125" style="15" customWidth="1"/>
    <col min="1548" max="1548" width="7.6640625" style="15" customWidth="1"/>
    <col min="1549" max="1549" width="8.83203125" style="15" customWidth="1"/>
    <col min="1550" max="1550" width="10.33203125" style="15" customWidth="1"/>
    <col min="1551" max="1553" width="9.33203125" style="15" customWidth="1"/>
    <col min="1554" max="1554" width="15.6640625" style="15" customWidth="1"/>
    <col min="1555" max="1555" width="12.6640625" style="15" customWidth="1"/>
    <col min="1556" max="1794" width="10" style="15"/>
    <col min="1795" max="1795" width="7.6640625" style="15" customWidth="1"/>
    <col min="1796" max="1796" width="4.33203125" style="15" customWidth="1"/>
    <col min="1797" max="1798" width="6.83203125" style="15" customWidth="1"/>
    <col min="1799" max="1799" width="6.33203125" style="15" customWidth="1"/>
    <col min="1800" max="1800" width="9" style="15" customWidth="1"/>
    <col min="1801" max="1803" width="8.33203125" style="15" customWidth="1"/>
    <col min="1804" max="1804" width="7.6640625" style="15" customWidth="1"/>
    <col min="1805" max="1805" width="8.83203125" style="15" customWidth="1"/>
    <col min="1806" max="1806" width="10.33203125" style="15" customWidth="1"/>
    <col min="1807" max="1809" width="9.33203125" style="15" customWidth="1"/>
    <col min="1810" max="1810" width="15.6640625" style="15" customWidth="1"/>
    <col min="1811" max="1811" width="12.6640625" style="15" customWidth="1"/>
    <col min="1812" max="2050" width="10" style="15"/>
    <col min="2051" max="2051" width="7.6640625" style="15" customWidth="1"/>
    <col min="2052" max="2052" width="4.33203125" style="15" customWidth="1"/>
    <col min="2053" max="2054" width="6.83203125" style="15" customWidth="1"/>
    <col min="2055" max="2055" width="6.33203125" style="15" customWidth="1"/>
    <col min="2056" max="2056" width="9" style="15" customWidth="1"/>
    <col min="2057" max="2059" width="8.33203125" style="15" customWidth="1"/>
    <col min="2060" max="2060" width="7.6640625" style="15" customWidth="1"/>
    <col min="2061" max="2061" width="8.83203125" style="15" customWidth="1"/>
    <col min="2062" max="2062" width="10.33203125" style="15" customWidth="1"/>
    <col min="2063" max="2065" width="9.33203125" style="15" customWidth="1"/>
    <col min="2066" max="2066" width="15.6640625" style="15" customWidth="1"/>
    <col min="2067" max="2067" width="12.6640625" style="15" customWidth="1"/>
    <col min="2068" max="2306" width="10" style="15"/>
    <col min="2307" max="2307" width="7.6640625" style="15" customWidth="1"/>
    <col min="2308" max="2308" width="4.33203125" style="15" customWidth="1"/>
    <col min="2309" max="2310" width="6.83203125" style="15" customWidth="1"/>
    <col min="2311" max="2311" width="6.33203125" style="15" customWidth="1"/>
    <col min="2312" max="2312" width="9" style="15" customWidth="1"/>
    <col min="2313" max="2315" width="8.33203125" style="15" customWidth="1"/>
    <col min="2316" max="2316" width="7.6640625" style="15" customWidth="1"/>
    <col min="2317" max="2317" width="8.83203125" style="15" customWidth="1"/>
    <col min="2318" max="2318" width="10.33203125" style="15" customWidth="1"/>
    <col min="2319" max="2321" width="9.33203125" style="15" customWidth="1"/>
    <col min="2322" max="2322" width="15.6640625" style="15" customWidth="1"/>
    <col min="2323" max="2323" width="12.6640625" style="15" customWidth="1"/>
    <col min="2324" max="2562" width="10" style="15"/>
    <col min="2563" max="2563" width="7.6640625" style="15" customWidth="1"/>
    <col min="2564" max="2564" width="4.33203125" style="15" customWidth="1"/>
    <col min="2565" max="2566" width="6.83203125" style="15" customWidth="1"/>
    <col min="2567" max="2567" width="6.33203125" style="15" customWidth="1"/>
    <col min="2568" max="2568" width="9" style="15" customWidth="1"/>
    <col min="2569" max="2571" width="8.33203125" style="15" customWidth="1"/>
    <col min="2572" max="2572" width="7.6640625" style="15" customWidth="1"/>
    <col min="2573" max="2573" width="8.83203125" style="15" customWidth="1"/>
    <col min="2574" max="2574" width="10.33203125" style="15" customWidth="1"/>
    <col min="2575" max="2577" width="9.33203125" style="15" customWidth="1"/>
    <col min="2578" max="2578" width="15.6640625" style="15" customWidth="1"/>
    <col min="2579" max="2579" width="12.6640625" style="15" customWidth="1"/>
    <col min="2580" max="2818" width="10" style="15"/>
    <col min="2819" max="2819" width="7.6640625" style="15" customWidth="1"/>
    <col min="2820" max="2820" width="4.33203125" style="15" customWidth="1"/>
    <col min="2821" max="2822" width="6.83203125" style="15" customWidth="1"/>
    <col min="2823" max="2823" width="6.33203125" style="15" customWidth="1"/>
    <col min="2824" max="2824" width="9" style="15" customWidth="1"/>
    <col min="2825" max="2827" width="8.33203125" style="15" customWidth="1"/>
    <col min="2828" max="2828" width="7.6640625" style="15" customWidth="1"/>
    <col min="2829" max="2829" width="8.83203125" style="15" customWidth="1"/>
    <col min="2830" max="2830" width="10.33203125" style="15" customWidth="1"/>
    <col min="2831" max="2833" width="9.33203125" style="15" customWidth="1"/>
    <col min="2834" max="2834" width="15.6640625" style="15" customWidth="1"/>
    <col min="2835" max="2835" width="12.6640625" style="15" customWidth="1"/>
    <col min="2836" max="3074" width="10" style="15"/>
    <col min="3075" max="3075" width="7.6640625" style="15" customWidth="1"/>
    <col min="3076" max="3076" width="4.33203125" style="15" customWidth="1"/>
    <col min="3077" max="3078" width="6.83203125" style="15" customWidth="1"/>
    <col min="3079" max="3079" width="6.33203125" style="15" customWidth="1"/>
    <col min="3080" max="3080" width="9" style="15" customWidth="1"/>
    <col min="3081" max="3083" width="8.33203125" style="15" customWidth="1"/>
    <col min="3084" max="3084" width="7.6640625" style="15" customWidth="1"/>
    <col min="3085" max="3085" width="8.83203125" style="15" customWidth="1"/>
    <col min="3086" max="3086" width="10.33203125" style="15" customWidth="1"/>
    <col min="3087" max="3089" width="9.33203125" style="15" customWidth="1"/>
    <col min="3090" max="3090" width="15.6640625" style="15" customWidth="1"/>
    <col min="3091" max="3091" width="12.6640625" style="15" customWidth="1"/>
    <col min="3092" max="3330" width="10" style="15"/>
    <col min="3331" max="3331" width="7.6640625" style="15" customWidth="1"/>
    <col min="3332" max="3332" width="4.33203125" style="15" customWidth="1"/>
    <col min="3333" max="3334" width="6.83203125" style="15" customWidth="1"/>
    <col min="3335" max="3335" width="6.33203125" style="15" customWidth="1"/>
    <col min="3336" max="3336" width="9" style="15" customWidth="1"/>
    <col min="3337" max="3339" width="8.33203125" style="15" customWidth="1"/>
    <col min="3340" max="3340" width="7.6640625" style="15" customWidth="1"/>
    <col min="3341" max="3341" width="8.83203125" style="15" customWidth="1"/>
    <col min="3342" max="3342" width="10.33203125" style="15" customWidth="1"/>
    <col min="3343" max="3345" width="9.33203125" style="15" customWidth="1"/>
    <col min="3346" max="3346" width="15.6640625" style="15" customWidth="1"/>
    <col min="3347" max="3347" width="12.6640625" style="15" customWidth="1"/>
    <col min="3348" max="3586" width="10" style="15"/>
    <col min="3587" max="3587" width="7.6640625" style="15" customWidth="1"/>
    <col min="3588" max="3588" width="4.33203125" style="15" customWidth="1"/>
    <col min="3589" max="3590" width="6.83203125" style="15" customWidth="1"/>
    <col min="3591" max="3591" width="6.33203125" style="15" customWidth="1"/>
    <col min="3592" max="3592" width="9" style="15" customWidth="1"/>
    <col min="3593" max="3595" width="8.33203125" style="15" customWidth="1"/>
    <col min="3596" max="3596" width="7.6640625" style="15" customWidth="1"/>
    <col min="3597" max="3597" width="8.83203125" style="15" customWidth="1"/>
    <col min="3598" max="3598" width="10.33203125" style="15" customWidth="1"/>
    <col min="3599" max="3601" width="9.33203125" style="15" customWidth="1"/>
    <col min="3602" max="3602" width="15.6640625" style="15" customWidth="1"/>
    <col min="3603" max="3603" width="12.6640625" style="15" customWidth="1"/>
    <col min="3604" max="3842" width="10" style="15"/>
    <col min="3843" max="3843" width="7.6640625" style="15" customWidth="1"/>
    <col min="3844" max="3844" width="4.33203125" style="15" customWidth="1"/>
    <col min="3845" max="3846" width="6.83203125" style="15" customWidth="1"/>
    <col min="3847" max="3847" width="6.33203125" style="15" customWidth="1"/>
    <col min="3848" max="3848" width="9" style="15" customWidth="1"/>
    <col min="3849" max="3851" width="8.33203125" style="15" customWidth="1"/>
    <col min="3852" max="3852" width="7.6640625" style="15" customWidth="1"/>
    <col min="3853" max="3853" width="8.83203125" style="15" customWidth="1"/>
    <col min="3854" max="3854" width="10.33203125" style="15" customWidth="1"/>
    <col min="3855" max="3857" width="9.33203125" style="15" customWidth="1"/>
    <col min="3858" max="3858" width="15.6640625" style="15" customWidth="1"/>
    <col min="3859" max="3859" width="12.6640625" style="15" customWidth="1"/>
    <col min="3860" max="4098" width="10" style="15"/>
    <col min="4099" max="4099" width="7.6640625" style="15" customWidth="1"/>
    <col min="4100" max="4100" width="4.33203125" style="15" customWidth="1"/>
    <col min="4101" max="4102" width="6.83203125" style="15" customWidth="1"/>
    <col min="4103" max="4103" width="6.33203125" style="15" customWidth="1"/>
    <col min="4104" max="4104" width="9" style="15" customWidth="1"/>
    <col min="4105" max="4107" width="8.33203125" style="15" customWidth="1"/>
    <col min="4108" max="4108" width="7.6640625" style="15" customWidth="1"/>
    <col min="4109" max="4109" width="8.83203125" style="15" customWidth="1"/>
    <col min="4110" max="4110" width="10.33203125" style="15" customWidth="1"/>
    <col min="4111" max="4113" width="9.33203125" style="15" customWidth="1"/>
    <col min="4114" max="4114" width="15.6640625" style="15" customWidth="1"/>
    <col min="4115" max="4115" width="12.6640625" style="15" customWidth="1"/>
    <col min="4116" max="4354" width="10" style="15"/>
    <col min="4355" max="4355" width="7.6640625" style="15" customWidth="1"/>
    <col min="4356" max="4356" width="4.33203125" style="15" customWidth="1"/>
    <col min="4357" max="4358" width="6.83203125" style="15" customWidth="1"/>
    <col min="4359" max="4359" width="6.33203125" style="15" customWidth="1"/>
    <col min="4360" max="4360" width="9" style="15" customWidth="1"/>
    <col min="4361" max="4363" width="8.33203125" style="15" customWidth="1"/>
    <col min="4364" max="4364" width="7.6640625" style="15" customWidth="1"/>
    <col min="4365" max="4365" width="8.83203125" style="15" customWidth="1"/>
    <col min="4366" max="4366" width="10.33203125" style="15" customWidth="1"/>
    <col min="4367" max="4369" width="9.33203125" style="15" customWidth="1"/>
    <col min="4370" max="4370" width="15.6640625" style="15" customWidth="1"/>
    <col min="4371" max="4371" width="12.6640625" style="15" customWidth="1"/>
    <col min="4372" max="4610" width="10" style="15"/>
    <col min="4611" max="4611" width="7.6640625" style="15" customWidth="1"/>
    <col min="4612" max="4612" width="4.33203125" style="15" customWidth="1"/>
    <col min="4613" max="4614" width="6.83203125" style="15" customWidth="1"/>
    <col min="4615" max="4615" width="6.33203125" style="15" customWidth="1"/>
    <col min="4616" max="4616" width="9" style="15" customWidth="1"/>
    <col min="4617" max="4619" width="8.33203125" style="15" customWidth="1"/>
    <col min="4620" max="4620" width="7.6640625" style="15" customWidth="1"/>
    <col min="4621" max="4621" width="8.83203125" style="15" customWidth="1"/>
    <col min="4622" max="4622" width="10.33203125" style="15" customWidth="1"/>
    <col min="4623" max="4625" width="9.33203125" style="15" customWidth="1"/>
    <col min="4626" max="4626" width="15.6640625" style="15" customWidth="1"/>
    <col min="4627" max="4627" width="12.6640625" style="15" customWidth="1"/>
    <col min="4628" max="4866" width="10" style="15"/>
    <col min="4867" max="4867" width="7.6640625" style="15" customWidth="1"/>
    <col min="4868" max="4868" width="4.33203125" style="15" customWidth="1"/>
    <col min="4869" max="4870" width="6.83203125" style="15" customWidth="1"/>
    <col min="4871" max="4871" width="6.33203125" style="15" customWidth="1"/>
    <col min="4872" max="4872" width="9" style="15" customWidth="1"/>
    <col min="4873" max="4875" width="8.33203125" style="15" customWidth="1"/>
    <col min="4876" max="4876" width="7.6640625" style="15" customWidth="1"/>
    <col min="4877" max="4877" width="8.83203125" style="15" customWidth="1"/>
    <col min="4878" max="4878" width="10.33203125" style="15" customWidth="1"/>
    <col min="4879" max="4881" width="9.33203125" style="15" customWidth="1"/>
    <col min="4882" max="4882" width="15.6640625" style="15" customWidth="1"/>
    <col min="4883" max="4883" width="12.6640625" style="15" customWidth="1"/>
    <col min="4884" max="5122" width="10" style="15"/>
    <col min="5123" max="5123" width="7.6640625" style="15" customWidth="1"/>
    <col min="5124" max="5124" width="4.33203125" style="15" customWidth="1"/>
    <col min="5125" max="5126" width="6.83203125" style="15" customWidth="1"/>
    <col min="5127" max="5127" width="6.33203125" style="15" customWidth="1"/>
    <col min="5128" max="5128" width="9" style="15" customWidth="1"/>
    <col min="5129" max="5131" width="8.33203125" style="15" customWidth="1"/>
    <col min="5132" max="5132" width="7.6640625" style="15" customWidth="1"/>
    <col min="5133" max="5133" width="8.83203125" style="15" customWidth="1"/>
    <col min="5134" max="5134" width="10.33203125" style="15" customWidth="1"/>
    <col min="5135" max="5137" width="9.33203125" style="15" customWidth="1"/>
    <col min="5138" max="5138" width="15.6640625" style="15" customWidth="1"/>
    <col min="5139" max="5139" width="12.6640625" style="15" customWidth="1"/>
    <col min="5140" max="5378" width="10" style="15"/>
    <col min="5379" max="5379" width="7.6640625" style="15" customWidth="1"/>
    <col min="5380" max="5380" width="4.33203125" style="15" customWidth="1"/>
    <col min="5381" max="5382" width="6.83203125" style="15" customWidth="1"/>
    <col min="5383" max="5383" width="6.33203125" style="15" customWidth="1"/>
    <col min="5384" max="5384" width="9" style="15" customWidth="1"/>
    <col min="5385" max="5387" width="8.33203125" style="15" customWidth="1"/>
    <col min="5388" max="5388" width="7.6640625" style="15" customWidth="1"/>
    <col min="5389" max="5389" width="8.83203125" style="15" customWidth="1"/>
    <col min="5390" max="5390" width="10.33203125" style="15" customWidth="1"/>
    <col min="5391" max="5393" width="9.33203125" style="15" customWidth="1"/>
    <col min="5394" max="5394" width="15.6640625" style="15" customWidth="1"/>
    <col min="5395" max="5395" width="12.6640625" style="15" customWidth="1"/>
    <col min="5396" max="5634" width="10" style="15"/>
    <col min="5635" max="5635" width="7.6640625" style="15" customWidth="1"/>
    <col min="5636" max="5636" width="4.33203125" style="15" customWidth="1"/>
    <col min="5637" max="5638" width="6.83203125" style="15" customWidth="1"/>
    <col min="5639" max="5639" width="6.33203125" style="15" customWidth="1"/>
    <col min="5640" max="5640" width="9" style="15" customWidth="1"/>
    <col min="5641" max="5643" width="8.33203125" style="15" customWidth="1"/>
    <col min="5644" max="5644" width="7.6640625" style="15" customWidth="1"/>
    <col min="5645" max="5645" width="8.83203125" style="15" customWidth="1"/>
    <col min="5646" max="5646" width="10.33203125" style="15" customWidth="1"/>
    <col min="5647" max="5649" width="9.33203125" style="15" customWidth="1"/>
    <col min="5650" max="5650" width="15.6640625" style="15" customWidth="1"/>
    <col min="5651" max="5651" width="12.6640625" style="15" customWidth="1"/>
    <col min="5652" max="5890" width="10" style="15"/>
    <col min="5891" max="5891" width="7.6640625" style="15" customWidth="1"/>
    <col min="5892" max="5892" width="4.33203125" style="15" customWidth="1"/>
    <col min="5893" max="5894" width="6.83203125" style="15" customWidth="1"/>
    <col min="5895" max="5895" width="6.33203125" style="15" customWidth="1"/>
    <col min="5896" max="5896" width="9" style="15" customWidth="1"/>
    <col min="5897" max="5899" width="8.33203125" style="15" customWidth="1"/>
    <col min="5900" max="5900" width="7.6640625" style="15" customWidth="1"/>
    <col min="5901" max="5901" width="8.83203125" style="15" customWidth="1"/>
    <col min="5902" max="5902" width="10.33203125" style="15" customWidth="1"/>
    <col min="5903" max="5905" width="9.33203125" style="15" customWidth="1"/>
    <col min="5906" max="5906" width="15.6640625" style="15" customWidth="1"/>
    <col min="5907" max="5907" width="12.6640625" style="15" customWidth="1"/>
    <col min="5908" max="6146" width="10" style="15"/>
    <col min="6147" max="6147" width="7.6640625" style="15" customWidth="1"/>
    <col min="6148" max="6148" width="4.33203125" style="15" customWidth="1"/>
    <col min="6149" max="6150" width="6.83203125" style="15" customWidth="1"/>
    <col min="6151" max="6151" width="6.33203125" style="15" customWidth="1"/>
    <col min="6152" max="6152" width="9" style="15" customWidth="1"/>
    <col min="6153" max="6155" width="8.33203125" style="15" customWidth="1"/>
    <col min="6156" max="6156" width="7.6640625" style="15" customWidth="1"/>
    <col min="6157" max="6157" width="8.83203125" style="15" customWidth="1"/>
    <col min="6158" max="6158" width="10.33203125" style="15" customWidth="1"/>
    <col min="6159" max="6161" width="9.33203125" style="15" customWidth="1"/>
    <col min="6162" max="6162" width="15.6640625" style="15" customWidth="1"/>
    <col min="6163" max="6163" width="12.6640625" style="15" customWidth="1"/>
    <col min="6164" max="6402" width="10" style="15"/>
    <col min="6403" max="6403" width="7.6640625" style="15" customWidth="1"/>
    <col min="6404" max="6404" width="4.33203125" style="15" customWidth="1"/>
    <col min="6405" max="6406" width="6.83203125" style="15" customWidth="1"/>
    <col min="6407" max="6407" width="6.33203125" style="15" customWidth="1"/>
    <col min="6408" max="6408" width="9" style="15" customWidth="1"/>
    <col min="6409" max="6411" width="8.33203125" style="15" customWidth="1"/>
    <col min="6412" max="6412" width="7.6640625" style="15" customWidth="1"/>
    <col min="6413" max="6413" width="8.83203125" style="15" customWidth="1"/>
    <col min="6414" max="6414" width="10.33203125" style="15" customWidth="1"/>
    <col min="6415" max="6417" width="9.33203125" style="15" customWidth="1"/>
    <col min="6418" max="6418" width="15.6640625" style="15" customWidth="1"/>
    <col min="6419" max="6419" width="12.6640625" style="15" customWidth="1"/>
    <col min="6420" max="6658" width="10" style="15"/>
    <col min="6659" max="6659" width="7.6640625" style="15" customWidth="1"/>
    <col min="6660" max="6660" width="4.33203125" style="15" customWidth="1"/>
    <col min="6661" max="6662" width="6.83203125" style="15" customWidth="1"/>
    <col min="6663" max="6663" width="6.33203125" style="15" customWidth="1"/>
    <col min="6664" max="6664" width="9" style="15" customWidth="1"/>
    <col min="6665" max="6667" width="8.33203125" style="15" customWidth="1"/>
    <col min="6668" max="6668" width="7.6640625" style="15" customWidth="1"/>
    <col min="6669" max="6669" width="8.83203125" style="15" customWidth="1"/>
    <col min="6670" max="6670" width="10.33203125" style="15" customWidth="1"/>
    <col min="6671" max="6673" width="9.33203125" style="15" customWidth="1"/>
    <col min="6674" max="6674" width="15.6640625" style="15" customWidth="1"/>
    <col min="6675" max="6675" width="12.6640625" style="15" customWidth="1"/>
    <col min="6676" max="6914" width="10" style="15"/>
    <col min="6915" max="6915" width="7.6640625" style="15" customWidth="1"/>
    <col min="6916" max="6916" width="4.33203125" style="15" customWidth="1"/>
    <col min="6917" max="6918" width="6.83203125" style="15" customWidth="1"/>
    <col min="6919" max="6919" width="6.33203125" style="15" customWidth="1"/>
    <col min="6920" max="6920" width="9" style="15" customWidth="1"/>
    <col min="6921" max="6923" width="8.33203125" style="15" customWidth="1"/>
    <col min="6924" max="6924" width="7.6640625" style="15" customWidth="1"/>
    <col min="6925" max="6925" width="8.83203125" style="15" customWidth="1"/>
    <col min="6926" max="6926" width="10.33203125" style="15" customWidth="1"/>
    <col min="6927" max="6929" width="9.33203125" style="15" customWidth="1"/>
    <col min="6930" max="6930" width="15.6640625" style="15" customWidth="1"/>
    <col min="6931" max="6931" width="12.6640625" style="15" customWidth="1"/>
    <col min="6932" max="7170" width="10" style="15"/>
    <col min="7171" max="7171" width="7.6640625" style="15" customWidth="1"/>
    <col min="7172" max="7172" width="4.33203125" style="15" customWidth="1"/>
    <col min="7173" max="7174" width="6.83203125" style="15" customWidth="1"/>
    <col min="7175" max="7175" width="6.33203125" style="15" customWidth="1"/>
    <col min="7176" max="7176" width="9" style="15" customWidth="1"/>
    <col min="7177" max="7179" width="8.33203125" style="15" customWidth="1"/>
    <col min="7180" max="7180" width="7.6640625" style="15" customWidth="1"/>
    <col min="7181" max="7181" width="8.83203125" style="15" customWidth="1"/>
    <col min="7182" max="7182" width="10.33203125" style="15" customWidth="1"/>
    <col min="7183" max="7185" width="9.33203125" style="15" customWidth="1"/>
    <col min="7186" max="7186" width="15.6640625" style="15" customWidth="1"/>
    <col min="7187" max="7187" width="12.6640625" style="15" customWidth="1"/>
    <col min="7188" max="7426" width="10" style="15"/>
    <col min="7427" max="7427" width="7.6640625" style="15" customWidth="1"/>
    <col min="7428" max="7428" width="4.33203125" style="15" customWidth="1"/>
    <col min="7429" max="7430" width="6.83203125" style="15" customWidth="1"/>
    <col min="7431" max="7431" width="6.33203125" style="15" customWidth="1"/>
    <col min="7432" max="7432" width="9" style="15" customWidth="1"/>
    <col min="7433" max="7435" width="8.33203125" style="15" customWidth="1"/>
    <col min="7436" max="7436" width="7.6640625" style="15" customWidth="1"/>
    <col min="7437" max="7437" width="8.83203125" style="15" customWidth="1"/>
    <col min="7438" max="7438" width="10.33203125" style="15" customWidth="1"/>
    <col min="7439" max="7441" width="9.33203125" style="15" customWidth="1"/>
    <col min="7442" max="7442" width="15.6640625" style="15" customWidth="1"/>
    <col min="7443" max="7443" width="12.6640625" style="15" customWidth="1"/>
    <col min="7444" max="7682" width="10" style="15"/>
    <col min="7683" max="7683" width="7.6640625" style="15" customWidth="1"/>
    <col min="7684" max="7684" width="4.33203125" style="15" customWidth="1"/>
    <col min="7685" max="7686" width="6.83203125" style="15" customWidth="1"/>
    <col min="7687" max="7687" width="6.33203125" style="15" customWidth="1"/>
    <col min="7688" max="7688" width="9" style="15" customWidth="1"/>
    <col min="7689" max="7691" width="8.33203125" style="15" customWidth="1"/>
    <col min="7692" max="7692" width="7.6640625" style="15" customWidth="1"/>
    <col min="7693" max="7693" width="8.83203125" style="15" customWidth="1"/>
    <col min="7694" max="7694" width="10.33203125" style="15" customWidth="1"/>
    <col min="7695" max="7697" width="9.33203125" style="15" customWidth="1"/>
    <col min="7698" max="7698" width="15.6640625" style="15" customWidth="1"/>
    <col min="7699" max="7699" width="12.6640625" style="15" customWidth="1"/>
    <col min="7700" max="7938" width="10" style="15"/>
    <col min="7939" max="7939" width="7.6640625" style="15" customWidth="1"/>
    <col min="7940" max="7940" width="4.33203125" style="15" customWidth="1"/>
    <col min="7941" max="7942" width="6.83203125" style="15" customWidth="1"/>
    <col min="7943" max="7943" width="6.33203125" style="15" customWidth="1"/>
    <col min="7944" max="7944" width="9" style="15" customWidth="1"/>
    <col min="7945" max="7947" width="8.33203125" style="15" customWidth="1"/>
    <col min="7948" max="7948" width="7.6640625" style="15" customWidth="1"/>
    <col min="7949" max="7949" width="8.83203125" style="15" customWidth="1"/>
    <col min="7950" max="7950" width="10.33203125" style="15" customWidth="1"/>
    <col min="7951" max="7953" width="9.33203125" style="15" customWidth="1"/>
    <col min="7954" max="7954" width="15.6640625" style="15" customWidth="1"/>
    <col min="7955" max="7955" width="12.6640625" style="15" customWidth="1"/>
    <col min="7956" max="8194" width="10" style="15"/>
    <col min="8195" max="8195" width="7.6640625" style="15" customWidth="1"/>
    <col min="8196" max="8196" width="4.33203125" style="15" customWidth="1"/>
    <col min="8197" max="8198" width="6.83203125" style="15" customWidth="1"/>
    <col min="8199" max="8199" width="6.33203125" style="15" customWidth="1"/>
    <col min="8200" max="8200" width="9" style="15" customWidth="1"/>
    <col min="8201" max="8203" width="8.33203125" style="15" customWidth="1"/>
    <col min="8204" max="8204" width="7.6640625" style="15" customWidth="1"/>
    <col min="8205" max="8205" width="8.83203125" style="15" customWidth="1"/>
    <col min="8206" max="8206" width="10.33203125" style="15" customWidth="1"/>
    <col min="8207" max="8209" width="9.33203125" style="15" customWidth="1"/>
    <col min="8210" max="8210" width="15.6640625" style="15" customWidth="1"/>
    <col min="8211" max="8211" width="12.6640625" style="15" customWidth="1"/>
    <col min="8212" max="8450" width="10" style="15"/>
    <col min="8451" max="8451" width="7.6640625" style="15" customWidth="1"/>
    <col min="8452" max="8452" width="4.33203125" style="15" customWidth="1"/>
    <col min="8453" max="8454" width="6.83203125" style="15" customWidth="1"/>
    <col min="8455" max="8455" width="6.33203125" style="15" customWidth="1"/>
    <col min="8456" max="8456" width="9" style="15" customWidth="1"/>
    <col min="8457" max="8459" width="8.33203125" style="15" customWidth="1"/>
    <col min="8460" max="8460" width="7.6640625" style="15" customWidth="1"/>
    <col min="8461" max="8461" width="8.83203125" style="15" customWidth="1"/>
    <col min="8462" max="8462" width="10.33203125" style="15" customWidth="1"/>
    <col min="8463" max="8465" width="9.33203125" style="15" customWidth="1"/>
    <col min="8466" max="8466" width="15.6640625" style="15" customWidth="1"/>
    <col min="8467" max="8467" width="12.6640625" style="15" customWidth="1"/>
    <col min="8468" max="8706" width="10" style="15"/>
    <col min="8707" max="8707" width="7.6640625" style="15" customWidth="1"/>
    <col min="8708" max="8708" width="4.33203125" style="15" customWidth="1"/>
    <col min="8709" max="8710" width="6.83203125" style="15" customWidth="1"/>
    <col min="8711" max="8711" width="6.33203125" style="15" customWidth="1"/>
    <col min="8712" max="8712" width="9" style="15" customWidth="1"/>
    <col min="8713" max="8715" width="8.33203125" style="15" customWidth="1"/>
    <col min="8716" max="8716" width="7.6640625" style="15" customWidth="1"/>
    <col min="8717" max="8717" width="8.83203125" style="15" customWidth="1"/>
    <col min="8718" max="8718" width="10.33203125" style="15" customWidth="1"/>
    <col min="8719" max="8721" width="9.33203125" style="15" customWidth="1"/>
    <col min="8722" max="8722" width="15.6640625" style="15" customWidth="1"/>
    <col min="8723" max="8723" width="12.6640625" style="15" customWidth="1"/>
    <col min="8724" max="8962" width="10" style="15"/>
    <col min="8963" max="8963" width="7.6640625" style="15" customWidth="1"/>
    <col min="8964" max="8964" width="4.33203125" style="15" customWidth="1"/>
    <col min="8965" max="8966" width="6.83203125" style="15" customWidth="1"/>
    <col min="8967" max="8967" width="6.33203125" style="15" customWidth="1"/>
    <col min="8968" max="8968" width="9" style="15" customWidth="1"/>
    <col min="8969" max="8971" width="8.33203125" style="15" customWidth="1"/>
    <col min="8972" max="8972" width="7.6640625" style="15" customWidth="1"/>
    <col min="8973" max="8973" width="8.83203125" style="15" customWidth="1"/>
    <col min="8974" max="8974" width="10.33203125" style="15" customWidth="1"/>
    <col min="8975" max="8977" width="9.33203125" style="15" customWidth="1"/>
    <col min="8978" max="8978" width="15.6640625" style="15" customWidth="1"/>
    <col min="8979" max="8979" width="12.6640625" style="15" customWidth="1"/>
    <col min="8980" max="9218" width="10" style="15"/>
    <col min="9219" max="9219" width="7.6640625" style="15" customWidth="1"/>
    <col min="9220" max="9220" width="4.33203125" style="15" customWidth="1"/>
    <col min="9221" max="9222" width="6.83203125" style="15" customWidth="1"/>
    <col min="9223" max="9223" width="6.33203125" style="15" customWidth="1"/>
    <col min="9224" max="9224" width="9" style="15" customWidth="1"/>
    <col min="9225" max="9227" width="8.33203125" style="15" customWidth="1"/>
    <col min="9228" max="9228" width="7.6640625" style="15" customWidth="1"/>
    <col min="9229" max="9229" width="8.83203125" style="15" customWidth="1"/>
    <col min="9230" max="9230" width="10.33203125" style="15" customWidth="1"/>
    <col min="9231" max="9233" width="9.33203125" style="15" customWidth="1"/>
    <col min="9234" max="9234" width="15.6640625" style="15" customWidth="1"/>
    <col min="9235" max="9235" width="12.6640625" style="15" customWidth="1"/>
    <col min="9236" max="9474" width="10" style="15"/>
    <col min="9475" max="9475" width="7.6640625" style="15" customWidth="1"/>
    <col min="9476" max="9476" width="4.33203125" style="15" customWidth="1"/>
    <col min="9477" max="9478" width="6.83203125" style="15" customWidth="1"/>
    <col min="9479" max="9479" width="6.33203125" style="15" customWidth="1"/>
    <col min="9480" max="9480" width="9" style="15" customWidth="1"/>
    <col min="9481" max="9483" width="8.33203125" style="15" customWidth="1"/>
    <col min="9484" max="9484" width="7.6640625" style="15" customWidth="1"/>
    <col min="9485" max="9485" width="8.83203125" style="15" customWidth="1"/>
    <col min="9486" max="9486" width="10.33203125" style="15" customWidth="1"/>
    <col min="9487" max="9489" width="9.33203125" style="15" customWidth="1"/>
    <col min="9490" max="9490" width="15.6640625" style="15" customWidth="1"/>
    <col min="9491" max="9491" width="12.6640625" style="15" customWidth="1"/>
    <col min="9492" max="9730" width="10" style="15"/>
    <col min="9731" max="9731" width="7.6640625" style="15" customWidth="1"/>
    <col min="9732" max="9732" width="4.33203125" style="15" customWidth="1"/>
    <col min="9733" max="9734" width="6.83203125" style="15" customWidth="1"/>
    <col min="9735" max="9735" width="6.33203125" style="15" customWidth="1"/>
    <col min="9736" max="9736" width="9" style="15" customWidth="1"/>
    <col min="9737" max="9739" width="8.33203125" style="15" customWidth="1"/>
    <col min="9740" max="9740" width="7.6640625" style="15" customWidth="1"/>
    <col min="9741" max="9741" width="8.83203125" style="15" customWidth="1"/>
    <col min="9742" max="9742" width="10.33203125" style="15" customWidth="1"/>
    <col min="9743" max="9745" width="9.33203125" style="15" customWidth="1"/>
    <col min="9746" max="9746" width="15.6640625" style="15" customWidth="1"/>
    <col min="9747" max="9747" width="12.6640625" style="15" customWidth="1"/>
    <col min="9748" max="9986" width="10" style="15"/>
    <col min="9987" max="9987" width="7.6640625" style="15" customWidth="1"/>
    <col min="9988" max="9988" width="4.33203125" style="15" customWidth="1"/>
    <col min="9989" max="9990" width="6.83203125" style="15" customWidth="1"/>
    <col min="9991" max="9991" width="6.33203125" style="15" customWidth="1"/>
    <col min="9992" max="9992" width="9" style="15" customWidth="1"/>
    <col min="9993" max="9995" width="8.33203125" style="15" customWidth="1"/>
    <col min="9996" max="9996" width="7.6640625" style="15" customWidth="1"/>
    <col min="9997" max="9997" width="8.83203125" style="15" customWidth="1"/>
    <col min="9998" max="9998" width="10.33203125" style="15" customWidth="1"/>
    <col min="9999" max="10001" width="9.33203125" style="15" customWidth="1"/>
    <col min="10002" max="10002" width="15.6640625" style="15" customWidth="1"/>
    <col min="10003" max="10003" width="12.6640625" style="15" customWidth="1"/>
    <col min="10004" max="10242" width="10" style="15"/>
    <col min="10243" max="10243" width="7.6640625" style="15" customWidth="1"/>
    <col min="10244" max="10244" width="4.33203125" style="15" customWidth="1"/>
    <col min="10245" max="10246" width="6.83203125" style="15" customWidth="1"/>
    <col min="10247" max="10247" width="6.33203125" style="15" customWidth="1"/>
    <col min="10248" max="10248" width="9" style="15" customWidth="1"/>
    <col min="10249" max="10251" width="8.33203125" style="15" customWidth="1"/>
    <col min="10252" max="10252" width="7.6640625" style="15" customWidth="1"/>
    <col min="10253" max="10253" width="8.83203125" style="15" customWidth="1"/>
    <col min="10254" max="10254" width="10.33203125" style="15" customWidth="1"/>
    <col min="10255" max="10257" width="9.33203125" style="15" customWidth="1"/>
    <col min="10258" max="10258" width="15.6640625" style="15" customWidth="1"/>
    <col min="10259" max="10259" width="12.6640625" style="15" customWidth="1"/>
    <col min="10260" max="10498" width="10" style="15"/>
    <col min="10499" max="10499" width="7.6640625" style="15" customWidth="1"/>
    <col min="10500" max="10500" width="4.33203125" style="15" customWidth="1"/>
    <col min="10501" max="10502" width="6.83203125" style="15" customWidth="1"/>
    <col min="10503" max="10503" width="6.33203125" style="15" customWidth="1"/>
    <col min="10504" max="10504" width="9" style="15" customWidth="1"/>
    <col min="10505" max="10507" width="8.33203125" style="15" customWidth="1"/>
    <col min="10508" max="10508" width="7.6640625" style="15" customWidth="1"/>
    <col min="10509" max="10509" width="8.83203125" style="15" customWidth="1"/>
    <col min="10510" max="10510" width="10.33203125" style="15" customWidth="1"/>
    <col min="10511" max="10513" width="9.33203125" style="15" customWidth="1"/>
    <col min="10514" max="10514" width="15.6640625" style="15" customWidth="1"/>
    <col min="10515" max="10515" width="12.6640625" style="15" customWidth="1"/>
    <col min="10516" max="10754" width="10" style="15"/>
    <col min="10755" max="10755" width="7.6640625" style="15" customWidth="1"/>
    <col min="10756" max="10756" width="4.33203125" style="15" customWidth="1"/>
    <col min="10757" max="10758" width="6.83203125" style="15" customWidth="1"/>
    <col min="10759" max="10759" width="6.33203125" style="15" customWidth="1"/>
    <col min="10760" max="10760" width="9" style="15" customWidth="1"/>
    <col min="10761" max="10763" width="8.33203125" style="15" customWidth="1"/>
    <col min="10764" max="10764" width="7.6640625" style="15" customWidth="1"/>
    <col min="10765" max="10765" width="8.83203125" style="15" customWidth="1"/>
    <col min="10766" max="10766" width="10.33203125" style="15" customWidth="1"/>
    <col min="10767" max="10769" width="9.33203125" style="15" customWidth="1"/>
    <col min="10770" max="10770" width="15.6640625" style="15" customWidth="1"/>
    <col min="10771" max="10771" width="12.6640625" style="15" customWidth="1"/>
    <col min="10772" max="11010" width="10" style="15"/>
    <col min="11011" max="11011" width="7.6640625" style="15" customWidth="1"/>
    <col min="11012" max="11012" width="4.33203125" style="15" customWidth="1"/>
    <col min="11013" max="11014" width="6.83203125" style="15" customWidth="1"/>
    <col min="11015" max="11015" width="6.33203125" style="15" customWidth="1"/>
    <col min="11016" max="11016" width="9" style="15" customWidth="1"/>
    <col min="11017" max="11019" width="8.33203125" style="15" customWidth="1"/>
    <col min="11020" max="11020" width="7.6640625" style="15" customWidth="1"/>
    <col min="11021" max="11021" width="8.83203125" style="15" customWidth="1"/>
    <col min="11022" max="11022" width="10.33203125" style="15" customWidth="1"/>
    <col min="11023" max="11025" width="9.33203125" style="15" customWidth="1"/>
    <col min="11026" max="11026" width="15.6640625" style="15" customWidth="1"/>
    <col min="11027" max="11027" width="12.6640625" style="15" customWidth="1"/>
    <col min="11028" max="11266" width="10" style="15"/>
    <col min="11267" max="11267" width="7.6640625" style="15" customWidth="1"/>
    <col min="11268" max="11268" width="4.33203125" style="15" customWidth="1"/>
    <col min="11269" max="11270" width="6.83203125" style="15" customWidth="1"/>
    <col min="11271" max="11271" width="6.33203125" style="15" customWidth="1"/>
    <col min="11272" max="11272" width="9" style="15" customWidth="1"/>
    <col min="11273" max="11275" width="8.33203125" style="15" customWidth="1"/>
    <col min="11276" max="11276" width="7.6640625" style="15" customWidth="1"/>
    <col min="11277" max="11277" width="8.83203125" style="15" customWidth="1"/>
    <col min="11278" max="11278" width="10.33203125" style="15" customWidth="1"/>
    <col min="11279" max="11281" width="9.33203125" style="15" customWidth="1"/>
    <col min="11282" max="11282" width="15.6640625" style="15" customWidth="1"/>
    <col min="11283" max="11283" width="12.6640625" style="15" customWidth="1"/>
    <col min="11284" max="11522" width="10" style="15"/>
    <col min="11523" max="11523" width="7.6640625" style="15" customWidth="1"/>
    <col min="11524" max="11524" width="4.33203125" style="15" customWidth="1"/>
    <col min="11525" max="11526" width="6.83203125" style="15" customWidth="1"/>
    <col min="11527" max="11527" width="6.33203125" style="15" customWidth="1"/>
    <col min="11528" max="11528" width="9" style="15" customWidth="1"/>
    <col min="11529" max="11531" width="8.33203125" style="15" customWidth="1"/>
    <col min="11532" max="11532" width="7.6640625" style="15" customWidth="1"/>
    <col min="11533" max="11533" width="8.83203125" style="15" customWidth="1"/>
    <col min="11534" max="11534" width="10.33203125" style="15" customWidth="1"/>
    <col min="11535" max="11537" width="9.33203125" style="15" customWidth="1"/>
    <col min="11538" max="11538" width="15.6640625" style="15" customWidth="1"/>
    <col min="11539" max="11539" width="12.6640625" style="15" customWidth="1"/>
    <col min="11540" max="11778" width="10" style="15"/>
    <col min="11779" max="11779" width="7.6640625" style="15" customWidth="1"/>
    <col min="11780" max="11780" width="4.33203125" style="15" customWidth="1"/>
    <col min="11781" max="11782" width="6.83203125" style="15" customWidth="1"/>
    <col min="11783" max="11783" width="6.33203125" style="15" customWidth="1"/>
    <col min="11784" max="11784" width="9" style="15" customWidth="1"/>
    <col min="11785" max="11787" width="8.33203125" style="15" customWidth="1"/>
    <col min="11788" max="11788" width="7.6640625" style="15" customWidth="1"/>
    <col min="11789" max="11789" width="8.83203125" style="15" customWidth="1"/>
    <col min="11790" max="11790" width="10.33203125" style="15" customWidth="1"/>
    <col min="11791" max="11793" width="9.33203125" style="15" customWidth="1"/>
    <col min="11794" max="11794" width="15.6640625" style="15" customWidth="1"/>
    <col min="11795" max="11795" width="12.6640625" style="15" customWidth="1"/>
    <col min="11796" max="12034" width="10" style="15"/>
    <col min="12035" max="12035" width="7.6640625" style="15" customWidth="1"/>
    <col min="12036" max="12036" width="4.33203125" style="15" customWidth="1"/>
    <col min="12037" max="12038" width="6.83203125" style="15" customWidth="1"/>
    <col min="12039" max="12039" width="6.33203125" style="15" customWidth="1"/>
    <col min="12040" max="12040" width="9" style="15" customWidth="1"/>
    <col min="12041" max="12043" width="8.33203125" style="15" customWidth="1"/>
    <col min="12044" max="12044" width="7.6640625" style="15" customWidth="1"/>
    <col min="12045" max="12045" width="8.83203125" style="15" customWidth="1"/>
    <col min="12046" max="12046" width="10.33203125" style="15" customWidth="1"/>
    <col min="12047" max="12049" width="9.33203125" style="15" customWidth="1"/>
    <col min="12050" max="12050" width="15.6640625" style="15" customWidth="1"/>
    <col min="12051" max="12051" width="12.6640625" style="15" customWidth="1"/>
    <col min="12052" max="12290" width="10" style="15"/>
    <col min="12291" max="12291" width="7.6640625" style="15" customWidth="1"/>
    <col min="12292" max="12292" width="4.33203125" style="15" customWidth="1"/>
    <col min="12293" max="12294" width="6.83203125" style="15" customWidth="1"/>
    <col min="12295" max="12295" width="6.33203125" style="15" customWidth="1"/>
    <col min="12296" max="12296" width="9" style="15" customWidth="1"/>
    <col min="12297" max="12299" width="8.33203125" style="15" customWidth="1"/>
    <col min="12300" max="12300" width="7.6640625" style="15" customWidth="1"/>
    <col min="12301" max="12301" width="8.83203125" style="15" customWidth="1"/>
    <col min="12302" max="12302" width="10.33203125" style="15" customWidth="1"/>
    <col min="12303" max="12305" width="9.33203125" style="15" customWidth="1"/>
    <col min="12306" max="12306" width="15.6640625" style="15" customWidth="1"/>
    <col min="12307" max="12307" width="12.6640625" style="15" customWidth="1"/>
    <col min="12308" max="12546" width="10" style="15"/>
    <col min="12547" max="12547" width="7.6640625" style="15" customWidth="1"/>
    <col min="12548" max="12548" width="4.33203125" style="15" customWidth="1"/>
    <col min="12549" max="12550" width="6.83203125" style="15" customWidth="1"/>
    <col min="12551" max="12551" width="6.33203125" style="15" customWidth="1"/>
    <col min="12552" max="12552" width="9" style="15" customWidth="1"/>
    <col min="12553" max="12555" width="8.33203125" style="15" customWidth="1"/>
    <col min="12556" max="12556" width="7.6640625" style="15" customWidth="1"/>
    <col min="12557" max="12557" width="8.83203125" style="15" customWidth="1"/>
    <col min="12558" max="12558" width="10.33203125" style="15" customWidth="1"/>
    <col min="12559" max="12561" width="9.33203125" style="15" customWidth="1"/>
    <col min="12562" max="12562" width="15.6640625" style="15" customWidth="1"/>
    <col min="12563" max="12563" width="12.6640625" style="15" customWidth="1"/>
    <col min="12564" max="12802" width="10" style="15"/>
    <col min="12803" max="12803" width="7.6640625" style="15" customWidth="1"/>
    <col min="12804" max="12804" width="4.33203125" style="15" customWidth="1"/>
    <col min="12805" max="12806" width="6.83203125" style="15" customWidth="1"/>
    <col min="12807" max="12807" width="6.33203125" style="15" customWidth="1"/>
    <col min="12808" max="12808" width="9" style="15" customWidth="1"/>
    <col min="12809" max="12811" width="8.33203125" style="15" customWidth="1"/>
    <col min="12812" max="12812" width="7.6640625" style="15" customWidth="1"/>
    <col min="12813" max="12813" width="8.83203125" style="15" customWidth="1"/>
    <col min="12814" max="12814" width="10.33203125" style="15" customWidth="1"/>
    <col min="12815" max="12817" width="9.33203125" style="15" customWidth="1"/>
    <col min="12818" max="12818" width="15.6640625" style="15" customWidth="1"/>
    <col min="12819" max="12819" width="12.6640625" style="15" customWidth="1"/>
    <col min="12820" max="13058" width="10" style="15"/>
    <col min="13059" max="13059" width="7.6640625" style="15" customWidth="1"/>
    <col min="13060" max="13060" width="4.33203125" style="15" customWidth="1"/>
    <col min="13061" max="13062" width="6.83203125" style="15" customWidth="1"/>
    <col min="13063" max="13063" width="6.33203125" style="15" customWidth="1"/>
    <col min="13064" max="13064" width="9" style="15" customWidth="1"/>
    <col min="13065" max="13067" width="8.33203125" style="15" customWidth="1"/>
    <col min="13068" max="13068" width="7.6640625" style="15" customWidth="1"/>
    <col min="13069" max="13069" width="8.83203125" style="15" customWidth="1"/>
    <col min="13070" max="13070" width="10.33203125" style="15" customWidth="1"/>
    <col min="13071" max="13073" width="9.33203125" style="15" customWidth="1"/>
    <col min="13074" max="13074" width="15.6640625" style="15" customWidth="1"/>
    <col min="13075" max="13075" width="12.6640625" style="15" customWidth="1"/>
    <col min="13076" max="13314" width="10" style="15"/>
    <col min="13315" max="13315" width="7.6640625" style="15" customWidth="1"/>
    <col min="13316" max="13316" width="4.33203125" style="15" customWidth="1"/>
    <col min="13317" max="13318" width="6.83203125" style="15" customWidth="1"/>
    <col min="13319" max="13319" width="6.33203125" style="15" customWidth="1"/>
    <col min="13320" max="13320" width="9" style="15" customWidth="1"/>
    <col min="13321" max="13323" width="8.33203125" style="15" customWidth="1"/>
    <col min="13324" max="13324" width="7.6640625" style="15" customWidth="1"/>
    <col min="13325" max="13325" width="8.83203125" style="15" customWidth="1"/>
    <col min="13326" max="13326" width="10.33203125" style="15" customWidth="1"/>
    <col min="13327" max="13329" width="9.33203125" style="15" customWidth="1"/>
    <col min="13330" max="13330" width="15.6640625" style="15" customWidth="1"/>
    <col min="13331" max="13331" width="12.6640625" style="15" customWidth="1"/>
    <col min="13332" max="13570" width="10" style="15"/>
    <col min="13571" max="13571" width="7.6640625" style="15" customWidth="1"/>
    <col min="13572" max="13572" width="4.33203125" style="15" customWidth="1"/>
    <col min="13573" max="13574" width="6.83203125" style="15" customWidth="1"/>
    <col min="13575" max="13575" width="6.33203125" style="15" customWidth="1"/>
    <col min="13576" max="13576" width="9" style="15" customWidth="1"/>
    <col min="13577" max="13579" width="8.33203125" style="15" customWidth="1"/>
    <col min="13580" max="13580" width="7.6640625" style="15" customWidth="1"/>
    <col min="13581" max="13581" width="8.83203125" style="15" customWidth="1"/>
    <col min="13582" max="13582" width="10.33203125" style="15" customWidth="1"/>
    <col min="13583" max="13585" width="9.33203125" style="15" customWidth="1"/>
    <col min="13586" max="13586" width="15.6640625" style="15" customWidth="1"/>
    <col min="13587" max="13587" width="12.6640625" style="15" customWidth="1"/>
    <col min="13588" max="13826" width="10" style="15"/>
    <col min="13827" max="13827" width="7.6640625" style="15" customWidth="1"/>
    <col min="13828" max="13828" width="4.33203125" style="15" customWidth="1"/>
    <col min="13829" max="13830" width="6.83203125" style="15" customWidth="1"/>
    <col min="13831" max="13831" width="6.33203125" style="15" customWidth="1"/>
    <col min="13832" max="13832" width="9" style="15" customWidth="1"/>
    <col min="13833" max="13835" width="8.33203125" style="15" customWidth="1"/>
    <col min="13836" max="13836" width="7.6640625" style="15" customWidth="1"/>
    <col min="13837" max="13837" width="8.83203125" style="15" customWidth="1"/>
    <col min="13838" max="13838" width="10.33203125" style="15" customWidth="1"/>
    <col min="13839" max="13841" width="9.33203125" style="15" customWidth="1"/>
    <col min="13842" max="13842" width="15.6640625" style="15" customWidth="1"/>
    <col min="13843" max="13843" width="12.6640625" style="15" customWidth="1"/>
    <col min="13844" max="14082" width="10" style="15"/>
    <col min="14083" max="14083" width="7.6640625" style="15" customWidth="1"/>
    <col min="14084" max="14084" width="4.33203125" style="15" customWidth="1"/>
    <col min="14085" max="14086" width="6.83203125" style="15" customWidth="1"/>
    <col min="14087" max="14087" width="6.33203125" style="15" customWidth="1"/>
    <col min="14088" max="14088" width="9" style="15" customWidth="1"/>
    <col min="14089" max="14091" width="8.33203125" style="15" customWidth="1"/>
    <col min="14092" max="14092" width="7.6640625" style="15" customWidth="1"/>
    <col min="14093" max="14093" width="8.83203125" style="15" customWidth="1"/>
    <col min="14094" max="14094" width="10.33203125" style="15" customWidth="1"/>
    <col min="14095" max="14097" width="9.33203125" style="15" customWidth="1"/>
    <col min="14098" max="14098" width="15.6640625" style="15" customWidth="1"/>
    <col min="14099" max="14099" width="12.6640625" style="15" customWidth="1"/>
    <col min="14100" max="14338" width="10" style="15"/>
    <col min="14339" max="14339" width="7.6640625" style="15" customWidth="1"/>
    <col min="14340" max="14340" width="4.33203125" style="15" customWidth="1"/>
    <col min="14341" max="14342" width="6.83203125" style="15" customWidth="1"/>
    <col min="14343" max="14343" width="6.33203125" style="15" customWidth="1"/>
    <col min="14344" max="14344" width="9" style="15" customWidth="1"/>
    <col min="14345" max="14347" width="8.33203125" style="15" customWidth="1"/>
    <col min="14348" max="14348" width="7.6640625" style="15" customWidth="1"/>
    <col min="14349" max="14349" width="8.83203125" style="15" customWidth="1"/>
    <col min="14350" max="14350" width="10.33203125" style="15" customWidth="1"/>
    <col min="14351" max="14353" width="9.33203125" style="15" customWidth="1"/>
    <col min="14354" max="14354" width="15.6640625" style="15" customWidth="1"/>
    <col min="14355" max="14355" width="12.6640625" style="15" customWidth="1"/>
    <col min="14356" max="14594" width="10" style="15"/>
    <col min="14595" max="14595" width="7.6640625" style="15" customWidth="1"/>
    <col min="14596" max="14596" width="4.33203125" style="15" customWidth="1"/>
    <col min="14597" max="14598" width="6.83203125" style="15" customWidth="1"/>
    <col min="14599" max="14599" width="6.33203125" style="15" customWidth="1"/>
    <col min="14600" max="14600" width="9" style="15" customWidth="1"/>
    <col min="14601" max="14603" width="8.33203125" style="15" customWidth="1"/>
    <col min="14604" max="14604" width="7.6640625" style="15" customWidth="1"/>
    <col min="14605" max="14605" width="8.83203125" style="15" customWidth="1"/>
    <col min="14606" max="14606" width="10.33203125" style="15" customWidth="1"/>
    <col min="14607" max="14609" width="9.33203125" style="15" customWidth="1"/>
    <col min="14610" max="14610" width="15.6640625" style="15" customWidth="1"/>
    <col min="14611" max="14611" width="12.6640625" style="15" customWidth="1"/>
    <col min="14612" max="14850" width="10" style="15"/>
    <col min="14851" max="14851" width="7.6640625" style="15" customWidth="1"/>
    <col min="14852" max="14852" width="4.33203125" style="15" customWidth="1"/>
    <col min="14853" max="14854" width="6.83203125" style="15" customWidth="1"/>
    <col min="14855" max="14855" width="6.33203125" style="15" customWidth="1"/>
    <col min="14856" max="14856" width="9" style="15" customWidth="1"/>
    <col min="14857" max="14859" width="8.33203125" style="15" customWidth="1"/>
    <col min="14860" max="14860" width="7.6640625" style="15" customWidth="1"/>
    <col min="14861" max="14861" width="8.83203125" style="15" customWidth="1"/>
    <col min="14862" max="14862" width="10.33203125" style="15" customWidth="1"/>
    <col min="14863" max="14865" width="9.33203125" style="15" customWidth="1"/>
    <col min="14866" max="14866" width="15.6640625" style="15" customWidth="1"/>
    <col min="14867" max="14867" width="12.6640625" style="15" customWidth="1"/>
    <col min="14868" max="15106" width="10" style="15"/>
    <col min="15107" max="15107" width="7.6640625" style="15" customWidth="1"/>
    <col min="15108" max="15108" width="4.33203125" style="15" customWidth="1"/>
    <col min="15109" max="15110" width="6.83203125" style="15" customWidth="1"/>
    <col min="15111" max="15111" width="6.33203125" style="15" customWidth="1"/>
    <col min="15112" max="15112" width="9" style="15" customWidth="1"/>
    <col min="15113" max="15115" width="8.33203125" style="15" customWidth="1"/>
    <col min="15116" max="15116" width="7.6640625" style="15" customWidth="1"/>
    <col min="15117" max="15117" width="8.83203125" style="15" customWidth="1"/>
    <col min="15118" max="15118" width="10.33203125" style="15" customWidth="1"/>
    <col min="15119" max="15121" width="9.33203125" style="15" customWidth="1"/>
    <col min="15122" max="15122" width="15.6640625" style="15" customWidth="1"/>
    <col min="15123" max="15123" width="12.6640625" style="15" customWidth="1"/>
    <col min="15124" max="15362" width="10" style="15"/>
    <col min="15363" max="15363" width="7.6640625" style="15" customWidth="1"/>
    <col min="15364" max="15364" width="4.33203125" style="15" customWidth="1"/>
    <col min="15365" max="15366" width="6.83203125" style="15" customWidth="1"/>
    <col min="15367" max="15367" width="6.33203125" style="15" customWidth="1"/>
    <col min="15368" max="15368" width="9" style="15" customWidth="1"/>
    <col min="15369" max="15371" width="8.33203125" style="15" customWidth="1"/>
    <col min="15372" max="15372" width="7.6640625" style="15" customWidth="1"/>
    <col min="15373" max="15373" width="8.83203125" style="15" customWidth="1"/>
    <col min="15374" max="15374" width="10.33203125" style="15" customWidth="1"/>
    <col min="15375" max="15377" width="9.33203125" style="15" customWidth="1"/>
    <col min="15378" max="15378" width="15.6640625" style="15" customWidth="1"/>
    <col min="15379" max="15379" width="12.6640625" style="15" customWidth="1"/>
    <col min="15380" max="15618" width="10" style="15"/>
    <col min="15619" max="15619" width="7.6640625" style="15" customWidth="1"/>
    <col min="15620" max="15620" width="4.33203125" style="15" customWidth="1"/>
    <col min="15621" max="15622" width="6.83203125" style="15" customWidth="1"/>
    <col min="15623" max="15623" width="6.33203125" style="15" customWidth="1"/>
    <col min="15624" max="15624" width="9" style="15" customWidth="1"/>
    <col min="15625" max="15627" width="8.33203125" style="15" customWidth="1"/>
    <col min="15628" max="15628" width="7.6640625" style="15" customWidth="1"/>
    <col min="15629" max="15629" width="8.83203125" style="15" customWidth="1"/>
    <col min="15630" max="15630" width="10.33203125" style="15" customWidth="1"/>
    <col min="15631" max="15633" width="9.33203125" style="15" customWidth="1"/>
    <col min="15634" max="15634" width="15.6640625" style="15" customWidth="1"/>
    <col min="15635" max="15635" width="12.6640625" style="15" customWidth="1"/>
    <col min="15636" max="15874" width="10" style="15"/>
    <col min="15875" max="15875" width="7.6640625" style="15" customWidth="1"/>
    <col min="15876" max="15876" width="4.33203125" style="15" customWidth="1"/>
    <col min="15877" max="15878" width="6.83203125" style="15" customWidth="1"/>
    <col min="15879" max="15879" width="6.33203125" style="15" customWidth="1"/>
    <col min="15880" max="15880" width="9" style="15" customWidth="1"/>
    <col min="15881" max="15883" width="8.33203125" style="15" customWidth="1"/>
    <col min="15884" max="15884" width="7.6640625" style="15" customWidth="1"/>
    <col min="15885" max="15885" width="8.83203125" style="15" customWidth="1"/>
    <col min="15886" max="15886" width="10.33203125" style="15" customWidth="1"/>
    <col min="15887" max="15889" width="9.33203125" style="15" customWidth="1"/>
    <col min="15890" max="15890" width="15.6640625" style="15" customWidth="1"/>
    <col min="15891" max="15891" width="12.6640625" style="15" customWidth="1"/>
    <col min="15892" max="16130" width="10" style="15"/>
    <col min="16131" max="16131" width="7.6640625" style="15" customWidth="1"/>
    <col min="16132" max="16132" width="4.33203125" style="15" customWidth="1"/>
    <col min="16133" max="16134" width="6.83203125" style="15" customWidth="1"/>
    <col min="16135" max="16135" width="6.33203125" style="15" customWidth="1"/>
    <col min="16136" max="16136" width="9" style="15" customWidth="1"/>
    <col min="16137" max="16139" width="8.33203125" style="15" customWidth="1"/>
    <col min="16140" max="16140" width="7.6640625" style="15" customWidth="1"/>
    <col min="16141" max="16141" width="8.83203125" style="15" customWidth="1"/>
    <col min="16142" max="16142" width="10.33203125" style="15" customWidth="1"/>
    <col min="16143" max="16145" width="9.33203125" style="15" customWidth="1"/>
    <col min="16146" max="16146" width="15.6640625" style="15" customWidth="1"/>
    <col min="16147" max="16147" width="12.6640625" style="15" customWidth="1"/>
    <col min="16148" max="16384" width="10" style="15"/>
  </cols>
  <sheetData>
    <row r="1" spans="1:34" s="1" customFormat="1" ht="26.75" customHeight="1">
      <c r="A1" s="115" t="s">
        <v>103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X1" s="2"/>
      <c r="Y1" s="3"/>
    </row>
    <row r="2" spans="1:34" s="1" customFormat="1" ht="26.75" customHeight="1">
      <c r="A2" s="116" t="s">
        <v>100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X2" s="2"/>
      <c r="Y2" s="3"/>
      <c r="Z2" s="8"/>
      <c r="AA2" s="8"/>
      <c r="AB2" s="8"/>
      <c r="AC2" s="8"/>
      <c r="AD2" s="8"/>
      <c r="AE2" s="8"/>
      <c r="AF2" s="8"/>
      <c r="AG2" s="8"/>
      <c r="AH2" s="8"/>
    </row>
    <row r="3" spans="1:34" ht="14.25" customHeight="1">
      <c r="A3" s="123" t="s">
        <v>77</v>
      </c>
      <c r="B3" s="123" t="s">
        <v>1</v>
      </c>
      <c r="C3" s="120" t="s">
        <v>37</v>
      </c>
      <c r="D3" s="120"/>
      <c r="E3" s="120"/>
      <c r="F3" s="120"/>
      <c r="G3" s="120"/>
      <c r="H3" s="120"/>
      <c r="I3" s="120" t="s">
        <v>38</v>
      </c>
      <c r="J3" s="120"/>
      <c r="K3" s="120"/>
      <c r="L3" s="120"/>
      <c r="M3" s="120"/>
      <c r="N3" s="111" t="s">
        <v>39</v>
      </c>
      <c r="O3" s="118" t="s">
        <v>81</v>
      </c>
      <c r="P3" s="118"/>
      <c r="Q3" s="118"/>
      <c r="R3" s="118" t="s">
        <v>40</v>
      </c>
      <c r="S3" s="118" t="s">
        <v>41</v>
      </c>
      <c r="T3" s="119" t="s">
        <v>78</v>
      </c>
      <c r="U3" s="119" t="s">
        <v>8</v>
      </c>
      <c r="V3" s="119" t="s">
        <v>123</v>
      </c>
      <c r="X3" s="12" t="s">
        <v>57</v>
      </c>
      <c r="Y3" s="9" t="s">
        <v>34</v>
      </c>
      <c r="Z3" s="8"/>
      <c r="AA3" s="8"/>
      <c r="AB3" s="8"/>
      <c r="AC3" s="8"/>
      <c r="AD3" s="8"/>
      <c r="AE3" s="8"/>
      <c r="AF3" s="8"/>
      <c r="AG3" s="8"/>
      <c r="AH3" s="8"/>
    </row>
    <row r="4" spans="1:34" ht="34.25" customHeight="1">
      <c r="A4" s="124"/>
      <c r="B4" s="124"/>
      <c r="C4" s="7" t="s">
        <v>42</v>
      </c>
      <c r="D4" s="75" t="s">
        <v>84</v>
      </c>
      <c r="E4" s="76" t="s">
        <v>44</v>
      </c>
      <c r="F4" s="75" t="s">
        <v>45</v>
      </c>
      <c r="G4" s="75" t="s">
        <v>46</v>
      </c>
      <c r="H4" s="59" t="s">
        <v>43</v>
      </c>
      <c r="I4" s="75" t="s">
        <v>85</v>
      </c>
      <c r="J4" s="75" t="s">
        <v>86</v>
      </c>
      <c r="K4" s="75" t="s">
        <v>87</v>
      </c>
      <c r="L4" s="75" t="s">
        <v>47</v>
      </c>
      <c r="M4" s="36" t="s">
        <v>43</v>
      </c>
      <c r="N4" s="111"/>
      <c r="O4" s="36" t="s">
        <v>48</v>
      </c>
      <c r="P4" s="36" t="s">
        <v>49</v>
      </c>
      <c r="Q4" s="36" t="s">
        <v>32</v>
      </c>
      <c r="R4" s="118"/>
      <c r="S4" s="118"/>
      <c r="T4" s="119"/>
      <c r="U4" s="119"/>
      <c r="V4" s="119"/>
      <c r="X4" s="12" t="s">
        <v>48</v>
      </c>
      <c r="Y4" s="57">
        <f>H14</f>
        <v>0</v>
      </c>
      <c r="Z4" s="8"/>
      <c r="AA4" s="8"/>
      <c r="AB4" s="8"/>
      <c r="AC4" s="8"/>
      <c r="AD4" s="8"/>
      <c r="AE4" s="8"/>
      <c r="AF4" s="8"/>
      <c r="AG4" s="8"/>
      <c r="AH4" s="8"/>
    </row>
    <row r="5" spans="1:34" ht="19.5" customHeight="1">
      <c r="A5" s="41">
        <v>1</v>
      </c>
      <c r="B5" s="9" t="s">
        <v>91</v>
      </c>
      <c r="C5" s="74"/>
      <c r="D5" s="68"/>
      <c r="E5" s="68"/>
      <c r="F5" s="68"/>
      <c r="G5" s="66"/>
      <c r="H5" s="58">
        <f t="shared" ref="H5:H9" si="0">ROUND(SUM(C5:G5),0)</f>
        <v>0</v>
      </c>
      <c r="I5" s="10"/>
      <c r="J5" s="10"/>
      <c r="K5" s="10"/>
      <c r="L5" s="92"/>
      <c r="M5" s="34">
        <f t="shared" ref="M5:M8" si="1">ROUND(SUM(I5:L5),0)</f>
        <v>0</v>
      </c>
      <c r="N5" s="34">
        <f t="shared" ref="N5:N8" si="2">H5+M5</f>
        <v>0</v>
      </c>
      <c r="O5" s="91">
        <f>IF(H5&lt;8000,H5*0.2,1600)</f>
        <v>0</v>
      </c>
      <c r="P5" s="34">
        <f>M5*0.2</f>
        <v>0</v>
      </c>
      <c r="Q5" s="34">
        <f t="shared" ref="Q5:Q8" si="3">ROUND(O5+P5,0)</f>
        <v>0</v>
      </c>
      <c r="R5" s="34"/>
      <c r="S5" s="60">
        <f t="shared" ref="S5:S8" si="4">ROUND(Q5+R5,0)</f>
        <v>0</v>
      </c>
      <c r="T5" s="80">
        <f t="shared" ref="T5:T8" si="5">ROUND(N5-S5,0)</f>
        <v>0</v>
      </c>
      <c r="U5" s="11"/>
      <c r="V5" s="104" t="s">
        <v>140</v>
      </c>
      <c r="X5" s="12" t="s">
        <v>49</v>
      </c>
      <c r="Y5" s="57">
        <f>M14</f>
        <v>0</v>
      </c>
      <c r="Z5" s="8"/>
      <c r="AA5" s="8"/>
      <c r="AB5" s="8"/>
      <c r="AC5" s="8"/>
      <c r="AD5" s="8"/>
      <c r="AE5" s="8"/>
      <c r="AF5" s="8"/>
      <c r="AG5" s="8"/>
      <c r="AH5" s="8"/>
    </row>
    <row r="6" spans="1:34" ht="21.75" customHeight="1">
      <c r="A6" s="9">
        <v>2</v>
      </c>
      <c r="B6" s="9"/>
      <c r="C6" s="74"/>
      <c r="D6" s="68"/>
      <c r="E6" s="68"/>
      <c r="F6" s="68"/>
      <c r="G6" s="66"/>
      <c r="H6" s="58">
        <f t="shared" si="0"/>
        <v>0</v>
      </c>
      <c r="I6" s="10"/>
      <c r="J6" s="10"/>
      <c r="K6" s="10"/>
      <c r="L6" s="92"/>
      <c r="M6" s="34">
        <f t="shared" si="1"/>
        <v>0</v>
      </c>
      <c r="N6" s="34">
        <f t="shared" si="2"/>
        <v>0</v>
      </c>
      <c r="O6" s="34">
        <f t="shared" ref="O6:O13" si="6">IF(H6&lt;8000,H6*0.2,1600)</f>
        <v>0</v>
      </c>
      <c r="P6" s="34">
        <f>M6*0.2</f>
        <v>0</v>
      </c>
      <c r="Q6" s="34">
        <f t="shared" si="3"/>
        <v>0</v>
      </c>
      <c r="R6" s="34"/>
      <c r="S6" s="60">
        <f t="shared" si="4"/>
        <v>0</v>
      </c>
      <c r="T6" s="80">
        <f t="shared" si="5"/>
        <v>0</v>
      </c>
      <c r="U6" s="61"/>
      <c r="V6" s="61"/>
      <c r="X6" s="12" t="s">
        <v>58</v>
      </c>
      <c r="Y6" s="57">
        <f>K14</f>
        <v>0</v>
      </c>
      <c r="Z6" s="8"/>
      <c r="AA6" s="8"/>
      <c r="AB6" s="8"/>
      <c r="AC6" s="8"/>
      <c r="AD6" s="8"/>
      <c r="AE6" s="8"/>
      <c r="AF6" s="8"/>
      <c r="AG6" s="8"/>
      <c r="AH6" s="8"/>
    </row>
    <row r="7" spans="1:34" ht="19.5" customHeight="1">
      <c r="A7" s="41">
        <v>3</v>
      </c>
      <c r="B7" s="9"/>
      <c r="C7" s="74"/>
      <c r="D7" s="82"/>
      <c r="E7" s="68"/>
      <c r="F7" s="68"/>
      <c r="G7" s="66"/>
      <c r="H7" s="58">
        <f t="shared" si="0"/>
        <v>0</v>
      </c>
      <c r="I7" s="10"/>
      <c r="J7" s="10"/>
      <c r="K7" s="10"/>
      <c r="L7" s="92"/>
      <c r="M7" s="34">
        <f t="shared" si="1"/>
        <v>0</v>
      </c>
      <c r="N7" s="34">
        <f t="shared" si="2"/>
        <v>0</v>
      </c>
      <c r="O7" s="34">
        <f t="shared" si="6"/>
        <v>0</v>
      </c>
      <c r="P7" s="34">
        <f>M7*0.2</f>
        <v>0</v>
      </c>
      <c r="Q7" s="34">
        <f>ROUND(O7+P7,0)</f>
        <v>0</v>
      </c>
      <c r="R7" s="34"/>
      <c r="S7" s="60">
        <f>ROUND(Q7+R7,0)</f>
        <v>0</v>
      </c>
      <c r="T7" s="80">
        <f t="shared" si="5"/>
        <v>0</v>
      </c>
      <c r="U7" s="11"/>
      <c r="V7" s="11"/>
      <c r="X7" s="12" t="s">
        <v>59</v>
      </c>
      <c r="Y7" s="57">
        <f>Q14</f>
        <v>0</v>
      </c>
      <c r="Z7" s="8"/>
      <c r="AA7" s="8"/>
      <c r="AB7" s="8"/>
      <c r="AC7" s="8"/>
      <c r="AD7" s="8"/>
      <c r="AE7" s="8"/>
      <c r="AF7" s="8"/>
      <c r="AG7" s="8"/>
      <c r="AH7" s="8"/>
    </row>
    <row r="8" spans="1:34" ht="19.5" customHeight="1">
      <c r="A8" s="9">
        <v>4</v>
      </c>
      <c r="B8" s="9"/>
      <c r="C8" s="74"/>
      <c r="D8" s="68"/>
      <c r="E8" s="90"/>
      <c r="F8" s="68"/>
      <c r="G8" s="66"/>
      <c r="H8" s="58">
        <f t="shared" si="0"/>
        <v>0</v>
      </c>
      <c r="I8" s="10"/>
      <c r="J8" s="10"/>
      <c r="K8" s="10"/>
      <c r="L8" s="92"/>
      <c r="M8" s="34">
        <f t="shared" si="1"/>
        <v>0</v>
      </c>
      <c r="N8" s="34">
        <f t="shared" si="2"/>
        <v>0</v>
      </c>
      <c r="O8" s="34">
        <f t="shared" si="6"/>
        <v>0</v>
      </c>
      <c r="P8" s="34">
        <f t="shared" ref="P8" si="7">M8*0.2</f>
        <v>0</v>
      </c>
      <c r="Q8" s="34">
        <f t="shared" si="3"/>
        <v>0</v>
      </c>
      <c r="R8" s="34"/>
      <c r="S8" s="60">
        <f t="shared" si="4"/>
        <v>0</v>
      </c>
      <c r="T8" s="80">
        <f t="shared" si="5"/>
        <v>0</v>
      </c>
      <c r="U8" s="11"/>
      <c r="V8" s="11"/>
      <c r="X8" s="35" t="s">
        <v>64</v>
      </c>
      <c r="Y8" s="57">
        <f>Y4+Y5</f>
        <v>0</v>
      </c>
      <c r="Z8" s="8"/>
      <c r="AA8" s="8"/>
      <c r="AB8" s="8"/>
      <c r="AC8" s="8"/>
      <c r="AD8" s="8"/>
      <c r="AE8" s="8"/>
      <c r="AF8" s="8"/>
      <c r="AG8" s="8"/>
      <c r="AH8" s="8"/>
    </row>
    <row r="9" spans="1:34" ht="19.5" customHeight="1">
      <c r="A9" s="41">
        <v>5</v>
      </c>
      <c r="B9" s="9"/>
      <c r="C9" s="74"/>
      <c r="D9" s="68"/>
      <c r="E9" s="90"/>
      <c r="F9" s="68"/>
      <c r="G9" s="66"/>
      <c r="H9" s="58">
        <f t="shared" si="0"/>
        <v>0</v>
      </c>
      <c r="I9" s="10"/>
      <c r="J9" s="10"/>
      <c r="K9" s="10"/>
      <c r="L9" s="10"/>
      <c r="M9" s="34">
        <f t="shared" ref="M9:M13" si="8">ROUND(SUM(I9:L9),0)</f>
        <v>0</v>
      </c>
      <c r="N9" s="34">
        <f t="shared" ref="N9" si="9">H9+M9</f>
        <v>0</v>
      </c>
      <c r="O9" s="34">
        <f t="shared" si="6"/>
        <v>0</v>
      </c>
      <c r="P9" s="34">
        <f t="shared" ref="P9:P13" si="10">M9*0.2</f>
        <v>0</v>
      </c>
      <c r="Q9" s="34">
        <f t="shared" ref="Q9:Q13" si="11">ROUND(O9+P9,0)</f>
        <v>0</v>
      </c>
      <c r="R9" s="34"/>
      <c r="S9" s="60">
        <f t="shared" ref="S9:S13" si="12">ROUND(Q9+R9,0)</f>
        <v>0</v>
      </c>
      <c r="T9" s="80">
        <f t="shared" ref="T9:T13" si="13">ROUND(N9-S9,0)</f>
        <v>0</v>
      </c>
      <c r="U9" s="11"/>
      <c r="V9" s="11"/>
      <c r="X9" s="28" t="s">
        <v>79</v>
      </c>
      <c r="Y9" s="57">
        <f>Q14</f>
        <v>0</v>
      </c>
      <c r="Z9" s="8"/>
      <c r="AA9" s="8"/>
      <c r="AB9" s="8"/>
      <c r="AC9" s="8"/>
      <c r="AD9" s="8"/>
      <c r="AE9" s="8"/>
      <c r="AF9" s="8"/>
      <c r="AG9" s="8"/>
      <c r="AH9" s="8"/>
    </row>
    <row r="10" spans="1:34" ht="19.5" customHeight="1">
      <c r="A10" s="9">
        <v>6</v>
      </c>
      <c r="B10" s="9"/>
      <c r="C10" s="74"/>
      <c r="D10" s="68"/>
      <c r="E10" s="90"/>
      <c r="F10" s="68"/>
      <c r="G10" s="66"/>
      <c r="H10" s="58">
        <f>ROUND(SUM(C10:G10),0)</f>
        <v>0</v>
      </c>
      <c r="I10" s="10"/>
      <c r="J10" s="10"/>
      <c r="K10" s="10"/>
      <c r="L10" s="10"/>
      <c r="M10" s="34">
        <f t="shared" si="8"/>
        <v>0</v>
      </c>
      <c r="N10" s="34">
        <f>H10+M10</f>
        <v>0</v>
      </c>
      <c r="O10" s="34">
        <f t="shared" si="6"/>
        <v>0</v>
      </c>
      <c r="P10" s="34">
        <f t="shared" si="10"/>
        <v>0</v>
      </c>
      <c r="Q10" s="34">
        <f t="shared" si="11"/>
        <v>0</v>
      </c>
      <c r="R10" s="34"/>
      <c r="S10" s="60">
        <f t="shared" si="12"/>
        <v>0</v>
      </c>
      <c r="T10" s="80">
        <f t="shared" si="13"/>
        <v>0</v>
      </c>
      <c r="U10" s="11"/>
      <c r="V10" s="11"/>
      <c r="X10" s="12" t="s">
        <v>40</v>
      </c>
      <c r="Y10" s="57">
        <f>R14</f>
        <v>0</v>
      </c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1" customHeight="1">
      <c r="A11" s="41">
        <v>7</v>
      </c>
      <c r="B11" s="9"/>
      <c r="C11" s="74"/>
      <c r="D11" s="68"/>
      <c r="E11" s="68"/>
      <c r="F11" s="68"/>
      <c r="G11" s="66"/>
      <c r="H11" s="58">
        <f>ROUND(SUM(C11:G11),0)</f>
        <v>0</v>
      </c>
      <c r="I11" s="10"/>
      <c r="J11" s="10"/>
      <c r="K11" s="10"/>
      <c r="L11" s="10"/>
      <c r="M11" s="34">
        <f t="shared" si="8"/>
        <v>0</v>
      </c>
      <c r="N11" s="34">
        <f>H11+M11</f>
        <v>0</v>
      </c>
      <c r="O11" s="34">
        <f t="shared" si="6"/>
        <v>0</v>
      </c>
      <c r="P11" s="34">
        <f t="shared" si="10"/>
        <v>0</v>
      </c>
      <c r="Q11" s="34">
        <f t="shared" si="11"/>
        <v>0</v>
      </c>
      <c r="R11" s="34"/>
      <c r="S11" s="60">
        <f t="shared" si="12"/>
        <v>0</v>
      </c>
      <c r="T11" s="80">
        <f t="shared" si="13"/>
        <v>0</v>
      </c>
      <c r="U11" s="54"/>
      <c r="V11" s="54"/>
      <c r="X11" s="12" t="s">
        <v>80</v>
      </c>
      <c r="Y11" s="57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19.5" customHeight="1">
      <c r="A12" s="9">
        <v>8</v>
      </c>
      <c r="B12" s="9"/>
      <c r="C12" s="34"/>
      <c r="D12" s="34"/>
      <c r="E12" s="34"/>
      <c r="F12" s="34"/>
      <c r="G12" s="34"/>
      <c r="H12" s="58">
        <f t="shared" ref="H12:H13" si="14">ROUND(SUM(C12:G12),0)</f>
        <v>0</v>
      </c>
      <c r="I12" s="10"/>
      <c r="J12" s="10"/>
      <c r="K12" s="10"/>
      <c r="L12" s="10"/>
      <c r="M12" s="34">
        <f t="shared" si="8"/>
        <v>0</v>
      </c>
      <c r="N12" s="34">
        <f t="shared" ref="N12:N13" si="15">H12+M12</f>
        <v>0</v>
      </c>
      <c r="O12" s="34">
        <f t="shared" si="6"/>
        <v>0</v>
      </c>
      <c r="P12" s="34">
        <f t="shared" si="10"/>
        <v>0</v>
      </c>
      <c r="Q12" s="34">
        <f t="shared" si="11"/>
        <v>0</v>
      </c>
      <c r="R12" s="34"/>
      <c r="S12" s="60">
        <f t="shared" si="12"/>
        <v>0</v>
      </c>
      <c r="T12" s="80">
        <f t="shared" si="13"/>
        <v>0</v>
      </c>
      <c r="U12" s="11"/>
      <c r="V12" s="11"/>
      <c r="X12" s="12" t="s">
        <v>60</v>
      </c>
      <c r="Y12" s="57">
        <f>Y8-Y9-Y10+Y11</f>
        <v>0</v>
      </c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9.5" customHeight="1">
      <c r="A13" s="41">
        <v>9</v>
      </c>
      <c r="B13" s="9"/>
      <c r="C13" s="34"/>
      <c r="D13" s="34"/>
      <c r="E13" s="34"/>
      <c r="F13" s="34"/>
      <c r="G13" s="34"/>
      <c r="H13" s="58">
        <f t="shared" si="14"/>
        <v>0</v>
      </c>
      <c r="I13" s="10"/>
      <c r="J13" s="10"/>
      <c r="K13" s="10"/>
      <c r="L13" s="10"/>
      <c r="M13" s="34">
        <f t="shared" si="8"/>
        <v>0</v>
      </c>
      <c r="N13" s="34">
        <f t="shared" si="15"/>
        <v>0</v>
      </c>
      <c r="O13" s="34">
        <f t="shared" si="6"/>
        <v>0</v>
      </c>
      <c r="P13" s="34">
        <f t="shared" si="10"/>
        <v>0</v>
      </c>
      <c r="Q13" s="34">
        <f t="shared" si="11"/>
        <v>0</v>
      </c>
      <c r="R13" s="34"/>
      <c r="S13" s="60">
        <f t="shared" si="12"/>
        <v>0</v>
      </c>
      <c r="T13" s="80">
        <f t="shared" si="13"/>
        <v>0</v>
      </c>
      <c r="U13" s="11"/>
      <c r="V13" s="11"/>
      <c r="X13" s="122" t="str">
        <f>IF(Y12-T14=0,"左右一致","与工资发放表（左表）汇总数不一致")</f>
        <v>左右一致</v>
      </c>
      <c r="Y13" s="122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9.5" customHeight="1">
      <c r="A14" s="119" t="s">
        <v>32</v>
      </c>
      <c r="B14" s="119"/>
      <c r="C14" s="16">
        <f t="shared" ref="C14:T14" si="16">SUM(C5:C13)</f>
        <v>0</v>
      </c>
      <c r="D14" s="16">
        <f t="shared" si="16"/>
        <v>0</v>
      </c>
      <c r="E14" s="16">
        <f t="shared" si="16"/>
        <v>0</v>
      </c>
      <c r="F14" s="16">
        <f t="shared" si="16"/>
        <v>0</v>
      </c>
      <c r="G14" s="16">
        <f t="shared" si="16"/>
        <v>0</v>
      </c>
      <c r="H14" s="42">
        <f t="shared" si="16"/>
        <v>0</v>
      </c>
      <c r="I14" s="16">
        <f t="shared" si="16"/>
        <v>0</v>
      </c>
      <c r="J14" s="16">
        <f t="shared" si="16"/>
        <v>0</v>
      </c>
      <c r="K14" s="16">
        <f t="shared" si="16"/>
        <v>0</v>
      </c>
      <c r="L14" s="16">
        <f t="shared" si="16"/>
        <v>0</v>
      </c>
      <c r="M14" s="16">
        <f t="shared" si="16"/>
        <v>0</v>
      </c>
      <c r="N14" s="38">
        <f t="shared" si="16"/>
        <v>0</v>
      </c>
      <c r="O14" s="38">
        <f t="shared" si="16"/>
        <v>0</v>
      </c>
      <c r="P14" s="38">
        <f t="shared" si="16"/>
        <v>0</v>
      </c>
      <c r="Q14" s="38">
        <f t="shared" si="16"/>
        <v>0</v>
      </c>
      <c r="R14" s="38">
        <f t="shared" si="16"/>
        <v>0</v>
      </c>
      <c r="S14" s="38">
        <f t="shared" si="16"/>
        <v>0</v>
      </c>
      <c r="T14" s="38">
        <f t="shared" si="16"/>
        <v>0</v>
      </c>
      <c r="U14" s="62"/>
      <c r="V14" s="62"/>
    </row>
    <row r="15" spans="1:34" ht="19.5" customHeight="1">
      <c r="A15" s="29"/>
      <c r="B15" s="29"/>
      <c r="C15" s="19"/>
      <c r="D15" s="19"/>
      <c r="E15" s="19"/>
      <c r="F15" s="19"/>
      <c r="G15" s="19"/>
      <c r="H15" s="2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30"/>
      <c r="V15" s="30"/>
    </row>
    <row r="16" spans="1:34" ht="19.5" customHeight="1">
      <c r="A16" s="29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</row>
    <row r="17" spans="1:23" ht="25.25" customHeight="1">
      <c r="A17" s="29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</row>
    <row r="18" spans="1:23" ht="25.25" customHeight="1">
      <c r="A18" s="2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</row>
    <row r="19" spans="1:23" ht="19.5" customHeight="1">
      <c r="A19" s="29"/>
      <c r="B19" s="29"/>
      <c r="C19" s="19"/>
      <c r="D19" s="19"/>
      <c r="E19" s="19"/>
      <c r="F19" s="19"/>
      <c r="G19" s="19"/>
      <c r="H19" s="2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30"/>
      <c r="V19" s="30"/>
    </row>
    <row r="20" spans="1:23" ht="19.5" customHeight="1">
      <c r="A20" s="29"/>
      <c r="B20" s="117" t="s">
        <v>55</v>
      </c>
      <c r="C20" s="117"/>
      <c r="D20" s="117"/>
      <c r="E20" s="117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2" t="s">
        <v>56</v>
      </c>
      <c r="U20" s="33"/>
      <c r="V20" s="33"/>
    </row>
    <row r="21" spans="1:23">
      <c r="A21" s="29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2"/>
      <c r="T21" s="32"/>
      <c r="U21" s="33"/>
      <c r="V21" s="33"/>
      <c r="W21" s="33"/>
    </row>
  </sheetData>
  <mergeCells count="19">
    <mergeCell ref="A1:V1"/>
    <mergeCell ref="A2:V2"/>
    <mergeCell ref="A3:A4"/>
    <mergeCell ref="B3:B4"/>
    <mergeCell ref="C3:H3"/>
    <mergeCell ref="I3:M3"/>
    <mergeCell ref="N3:N4"/>
    <mergeCell ref="O3:Q3"/>
    <mergeCell ref="R3:R4"/>
    <mergeCell ref="S3:S4"/>
    <mergeCell ref="B20:E20"/>
    <mergeCell ref="T3:T4"/>
    <mergeCell ref="V3:V4"/>
    <mergeCell ref="X13:Y13"/>
    <mergeCell ref="A14:B14"/>
    <mergeCell ref="B16:V16"/>
    <mergeCell ref="B17:V17"/>
    <mergeCell ref="B18:V18"/>
    <mergeCell ref="U3:U4"/>
  </mergeCells>
  <conditionalFormatting sqref="X13:Y13">
    <cfRule type="containsText" dxfId="3" priority="1" operator="containsText" text="不一致">
      <formula>NOT(ISERROR(SEARCH("不一致",X13)))</formula>
    </cfRule>
  </conditionalFormatting>
  <conditionalFormatting sqref="Y12">
    <cfRule type="cellIs" dxfId="2" priority="2" operator="equal">
      <formula>$T$14</formula>
    </cfRule>
  </conditionalFormatting>
  <hyperlinks>
    <hyperlink ref="V5" r:id="rId1" xr:uid="{26509680-A8BF-4265-AC2C-8F5032A8DABE}"/>
  </hyperlinks>
  <printOptions horizontalCentered="1"/>
  <pageMargins left="0.24" right="0.47" top="0.79" bottom="0.19685039370078741" header="0.2" footer="0.28000000000000003"/>
  <pageSetup paperSize="9" scale="71" firstPageNumber="4294963191" orientation="landscape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1781-BC17-4C7C-999B-D7506C509983}">
  <sheetPr>
    <pageSetUpPr fitToPage="1"/>
  </sheetPr>
  <dimension ref="A1:AH21"/>
  <sheetViews>
    <sheetView zoomScaleNormal="100" workbookViewId="0">
      <selection activeCell="V3" sqref="A3:V14"/>
    </sheetView>
  </sheetViews>
  <sheetFormatPr baseColWidth="10" defaultColWidth="10" defaultRowHeight="13"/>
  <cols>
    <col min="1" max="1" width="3.83203125" style="26" customWidth="1"/>
    <col min="2" max="2" width="14.6640625" style="15" customWidth="1"/>
    <col min="3" max="3" width="8.33203125" style="15" customWidth="1"/>
    <col min="4" max="4" width="7.33203125" style="15" customWidth="1"/>
    <col min="5" max="5" width="8.6640625" style="24" customWidth="1"/>
    <col min="6" max="6" width="8.5" style="24" customWidth="1"/>
    <col min="7" max="7" width="7.33203125" style="24" customWidth="1"/>
    <col min="8" max="8" width="9" style="25" customWidth="1"/>
    <col min="9" max="9" width="7" style="24" customWidth="1"/>
    <col min="10" max="10" width="7.83203125" style="24" customWidth="1"/>
    <col min="11" max="11" width="7" style="24" customWidth="1"/>
    <col min="12" max="12" width="8.5" style="24" customWidth="1"/>
    <col min="13" max="13" width="8" style="24" customWidth="1"/>
    <col min="14" max="14" width="7.83203125" style="24" customWidth="1"/>
    <col min="15" max="15" width="8.5" style="24" customWidth="1"/>
    <col min="16" max="16" width="8.33203125" style="24" customWidth="1"/>
    <col min="17" max="17" width="7.6640625" style="15" customWidth="1"/>
    <col min="18" max="18" width="8" style="26" customWidth="1"/>
    <col min="19" max="19" width="7.6640625" style="15" customWidth="1"/>
    <col min="20" max="20" width="10.33203125" style="15" customWidth="1"/>
    <col min="21" max="21" width="29.33203125" style="15" customWidth="1"/>
    <col min="22" max="22" width="22.6640625" style="15" customWidth="1"/>
    <col min="23" max="23" width="9" style="15" customWidth="1"/>
    <col min="24" max="24" width="24.5" style="15" customWidth="1"/>
    <col min="25" max="25" width="17" style="15" customWidth="1"/>
    <col min="26" max="26" width="9.33203125" style="15" customWidth="1"/>
    <col min="27" max="32" width="7.83203125" style="15" customWidth="1"/>
    <col min="33" max="33" width="10" style="15"/>
    <col min="34" max="34" width="21.33203125" style="15" customWidth="1"/>
    <col min="35" max="258" width="10" style="15"/>
    <col min="259" max="259" width="7.6640625" style="15" customWidth="1"/>
    <col min="260" max="260" width="4.33203125" style="15" customWidth="1"/>
    <col min="261" max="262" width="6.83203125" style="15" customWidth="1"/>
    <col min="263" max="263" width="6.33203125" style="15" customWidth="1"/>
    <col min="264" max="264" width="9" style="15" customWidth="1"/>
    <col min="265" max="267" width="8.33203125" style="15" customWidth="1"/>
    <col min="268" max="268" width="7.6640625" style="15" customWidth="1"/>
    <col min="269" max="269" width="8.83203125" style="15" customWidth="1"/>
    <col min="270" max="270" width="10.33203125" style="15" customWidth="1"/>
    <col min="271" max="273" width="9.33203125" style="15" customWidth="1"/>
    <col min="274" max="274" width="15.6640625" style="15" customWidth="1"/>
    <col min="275" max="275" width="12.6640625" style="15" customWidth="1"/>
    <col min="276" max="514" width="10" style="15"/>
    <col min="515" max="515" width="7.6640625" style="15" customWidth="1"/>
    <col min="516" max="516" width="4.33203125" style="15" customWidth="1"/>
    <col min="517" max="518" width="6.83203125" style="15" customWidth="1"/>
    <col min="519" max="519" width="6.33203125" style="15" customWidth="1"/>
    <col min="520" max="520" width="9" style="15" customWidth="1"/>
    <col min="521" max="523" width="8.33203125" style="15" customWidth="1"/>
    <col min="524" max="524" width="7.6640625" style="15" customWidth="1"/>
    <col min="525" max="525" width="8.83203125" style="15" customWidth="1"/>
    <col min="526" max="526" width="10.33203125" style="15" customWidth="1"/>
    <col min="527" max="529" width="9.33203125" style="15" customWidth="1"/>
    <col min="530" max="530" width="15.6640625" style="15" customWidth="1"/>
    <col min="531" max="531" width="12.6640625" style="15" customWidth="1"/>
    <col min="532" max="770" width="10" style="15"/>
    <col min="771" max="771" width="7.6640625" style="15" customWidth="1"/>
    <col min="772" max="772" width="4.33203125" style="15" customWidth="1"/>
    <col min="773" max="774" width="6.83203125" style="15" customWidth="1"/>
    <col min="775" max="775" width="6.33203125" style="15" customWidth="1"/>
    <col min="776" max="776" width="9" style="15" customWidth="1"/>
    <col min="777" max="779" width="8.33203125" style="15" customWidth="1"/>
    <col min="780" max="780" width="7.6640625" style="15" customWidth="1"/>
    <col min="781" max="781" width="8.83203125" style="15" customWidth="1"/>
    <col min="782" max="782" width="10.33203125" style="15" customWidth="1"/>
    <col min="783" max="785" width="9.33203125" style="15" customWidth="1"/>
    <col min="786" max="786" width="15.6640625" style="15" customWidth="1"/>
    <col min="787" max="787" width="12.6640625" style="15" customWidth="1"/>
    <col min="788" max="1026" width="10" style="15"/>
    <col min="1027" max="1027" width="7.6640625" style="15" customWidth="1"/>
    <col min="1028" max="1028" width="4.33203125" style="15" customWidth="1"/>
    <col min="1029" max="1030" width="6.83203125" style="15" customWidth="1"/>
    <col min="1031" max="1031" width="6.33203125" style="15" customWidth="1"/>
    <col min="1032" max="1032" width="9" style="15" customWidth="1"/>
    <col min="1033" max="1035" width="8.33203125" style="15" customWidth="1"/>
    <col min="1036" max="1036" width="7.6640625" style="15" customWidth="1"/>
    <col min="1037" max="1037" width="8.83203125" style="15" customWidth="1"/>
    <col min="1038" max="1038" width="10.33203125" style="15" customWidth="1"/>
    <col min="1039" max="1041" width="9.33203125" style="15" customWidth="1"/>
    <col min="1042" max="1042" width="15.6640625" style="15" customWidth="1"/>
    <col min="1043" max="1043" width="12.6640625" style="15" customWidth="1"/>
    <col min="1044" max="1282" width="10" style="15"/>
    <col min="1283" max="1283" width="7.6640625" style="15" customWidth="1"/>
    <col min="1284" max="1284" width="4.33203125" style="15" customWidth="1"/>
    <col min="1285" max="1286" width="6.83203125" style="15" customWidth="1"/>
    <col min="1287" max="1287" width="6.33203125" style="15" customWidth="1"/>
    <col min="1288" max="1288" width="9" style="15" customWidth="1"/>
    <col min="1289" max="1291" width="8.33203125" style="15" customWidth="1"/>
    <col min="1292" max="1292" width="7.6640625" style="15" customWidth="1"/>
    <col min="1293" max="1293" width="8.83203125" style="15" customWidth="1"/>
    <col min="1294" max="1294" width="10.33203125" style="15" customWidth="1"/>
    <col min="1295" max="1297" width="9.33203125" style="15" customWidth="1"/>
    <col min="1298" max="1298" width="15.6640625" style="15" customWidth="1"/>
    <col min="1299" max="1299" width="12.6640625" style="15" customWidth="1"/>
    <col min="1300" max="1538" width="10" style="15"/>
    <col min="1539" max="1539" width="7.6640625" style="15" customWidth="1"/>
    <col min="1540" max="1540" width="4.33203125" style="15" customWidth="1"/>
    <col min="1541" max="1542" width="6.83203125" style="15" customWidth="1"/>
    <col min="1543" max="1543" width="6.33203125" style="15" customWidth="1"/>
    <col min="1544" max="1544" width="9" style="15" customWidth="1"/>
    <col min="1545" max="1547" width="8.33203125" style="15" customWidth="1"/>
    <col min="1548" max="1548" width="7.6640625" style="15" customWidth="1"/>
    <col min="1549" max="1549" width="8.83203125" style="15" customWidth="1"/>
    <col min="1550" max="1550" width="10.33203125" style="15" customWidth="1"/>
    <col min="1551" max="1553" width="9.33203125" style="15" customWidth="1"/>
    <col min="1554" max="1554" width="15.6640625" style="15" customWidth="1"/>
    <col min="1555" max="1555" width="12.6640625" style="15" customWidth="1"/>
    <col min="1556" max="1794" width="10" style="15"/>
    <col min="1795" max="1795" width="7.6640625" style="15" customWidth="1"/>
    <col min="1796" max="1796" width="4.33203125" style="15" customWidth="1"/>
    <col min="1797" max="1798" width="6.83203125" style="15" customWidth="1"/>
    <col min="1799" max="1799" width="6.33203125" style="15" customWidth="1"/>
    <col min="1800" max="1800" width="9" style="15" customWidth="1"/>
    <col min="1801" max="1803" width="8.33203125" style="15" customWidth="1"/>
    <col min="1804" max="1804" width="7.6640625" style="15" customWidth="1"/>
    <col min="1805" max="1805" width="8.83203125" style="15" customWidth="1"/>
    <col min="1806" max="1806" width="10.33203125" style="15" customWidth="1"/>
    <col min="1807" max="1809" width="9.33203125" style="15" customWidth="1"/>
    <col min="1810" max="1810" width="15.6640625" style="15" customWidth="1"/>
    <col min="1811" max="1811" width="12.6640625" style="15" customWidth="1"/>
    <col min="1812" max="2050" width="10" style="15"/>
    <col min="2051" max="2051" width="7.6640625" style="15" customWidth="1"/>
    <col min="2052" max="2052" width="4.33203125" style="15" customWidth="1"/>
    <col min="2053" max="2054" width="6.83203125" style="15" customWidth="1"/>
    <col min="2055" max="2055" width="6.33203125" style="15" customWidth="1"/>
    <col min="2056" max="2056" width="9" style="15" customWidth="1"/>
    <col min="2057" max="2059" width="8.33203125" style="15" customWidth="1"/>
    <col min="2060" max="2060" width="7.6640625" style="15" customWidth="1"/>
    <col min="2061" max="2061" width="8.83203125" style="15" customWidth="1"/>
    <col min="2062" max="2062" width="10.33203125" style="15" customWidth="1"/>
    <col min="2063" max="2065" width="9.33203125" style="15" customWidth="1"/>
    <col min="2066" max="2066" width="15.6640625" style="15" customWidth="1"/>
    <col min="2067" max="2067" width="12.6640625" style="15" customWidth="1"/>
    <col min="2068" max="2306" width="10" style="15"/>
    <col min="2307" max="2307" width="7.6640625" style="15" customWidth="1"/>
    <col min="2308" max="2308" width="4.33203125" style="15" customWidth="1"/>
    <col min="2309" max="2310" width="6.83203125" style="15" customWidth="1"/>
    <col min="2311" max="2311" width="6.33203125" style="15" customWidth="1"/>
    <col min="2312" max="2312" width="9" style="15" customWidth="1"/>
    <col min="2313" max="2315" width="8.33203125" style="15" customWidth="1"/>
    <col min="2316" max="2316" width="7.6640625" style="15" customWidth="1"/>
    <col min="2317" max="2317" width="8.83203125" style="15" customWidth="1"/>
    <col min="2318" max="2318" width="10.33203125" style="15" customWidth="1"/>
    <col min="2319" max="2321" width="9.33203125" style="15" customWidth="1"/>
    <col min="2322" max="2322" width="15.6640625" style="15" customWidth="1"/>
    <col min="2323" max="2323" width="12.6640625" style="15" customWidth="1"/>
    <col min="2324" max="2562" width="10" style="15"/>
    <col min="2563" max="2563" width="7.6640625" style="15" customWidth="1"/>
    <col min="2564" max="2564" width="4.33203125" style="15" customWidth="1"/>
    <col min="2565" max="2566" width="6.83203125" style="15" customWidth="1"/>
    <col min="2567" max="2567" width="6.33203125" style="15" customWidth="1"/>
    <col min="2568" max="2568" width="9" style="15" customWidth="1"/>
    <col min="2569" max="2571" width="8.33203125" style="15" customWidth="1"/>
    <col min="2572" max="2572" width="7.6640625" style="15" customWidth="1"/>
    <col min="2573" max="2573" width="8.83203125" style="15" customWidth="1"/>
    <col min="2574" max="2574" width="10.33203125" style="15" customWidth="1"/>
    <col min="2575" max="2577" width="9.33203125" style="15" customWidth="1"/>
    <col min="2578" max="2578" width="15.6640625" style="15" customWidth="1"/>
    <col min="2579" max="2579" width="12.6640625" style="15" customWidth="1"/>
    <col min="2580" max="2818" width="10" style="15"/>
    <col min="2819" max="2819" width="7.6640625" style="15" customWidth="1"/>
    <col min="2820" max="2820" width="4.33203125" style="15" customWidth="1"/>
    <col min="2821" max="2822" width="6.83203125" style="15" customWidth="1"/>
    <col min="2823" max="2823" width="6.33203125" style="15" customWidth="1"/>
    <col min="2824" max="2824" width="9" style="15" customWidth="1"/>
    <col min="2825" max="2827" width="8.33203125" style="15" customWidth="1"/>
    <col min="2828" max="2828" width="7.6640625" style="15" customWidth="1"/>
    <col min="2829" max="2829" width="8.83203125" style="15" customWidth="1"/>
    <col min="2830" max="2830" width="10.33203125" style="15" customWidth="1"/>
    <col min="2831" max="2833" width="9.33203125" style="15" customWidth="1"/>
    <col min="2834" max="2834" width="15.6640625" style="15" customWidth="1"/>
    <col min="2835" max="2835" width="12.6640625" style="15" customWidth="1"/>
    <col min="2836" max="3074" width="10" style="15"/>
    <col min="3075" max="3075" width="7.6640625" style="15" customWidth="1"/>
    <col min="3076" max="3076" width="4.33203125" style="15" customWidth="1"/>
    <col min="3077" max="3078" width="6.83203125" style="15" customWidth="1"/>
    <col min="3079" max="3079" width="6.33203125" style="15" customWidth="1"/>
    <col min="3080" max="3080" width="9" style="15" customWidth="1"/>
    <col min="3081" max="3083" width="8.33203125" style="15" customWidth="1"/>
    <col min="3084" max="3084" width="7.6640625" style="15" customWidth="1"/>
    <col min="3085" max="3085" width="8.83203125" style="15" customWidth="1"/>
    <col min="3086" max="3086" width="10.33203125" style="15" customWidth="1"/>
    <col min="3087" max="3089" width="9.33203125" style="15" customWidth="1"/>
    <col min="3090" max="3090" width="15.6640625" style="15" customWidth="1"/>
    <col min="3091" max="3091" width="12.6640625" style="15" customWidth="1"/>
    <col min="3092" max="3330" width="10" style="15"/>
    <col min="3331" max="3331" width="7.6640625" style="15" customWidth="1"/>
    <col min="3332" max="3332" width="4.33203125" style="15" customWidth="1"/>
    <col min="3333" max="3334" width="6.83203125" style="15" customWidth="1"/>
    <col min="3335" max="3335" width="6.33203125" style="15" customWidth="1"/>
    <col min="3336" max="3336" width="9" style="15" customWidth="1"/>
    <col min="3337" max="3339" width="8.33203125" style="15" customWidth="1"/>
    <col min="3340" max="3340" width="7.6640625" style="15" customWidth="1"/>
    <col min="3341" max="3341" width="8.83203125" style="15" customWidth="1"/>
    <col min="3342" max="3342" width="10.33203125" style="15" customWidth="1"/>
    <col min="3343" max="3345" width="9.33203125" style="15" customWidth="1"/>
    <col min="3346" max="3346" width="15.6640625" style="15" customWidth="1"/>
    <col min="3347" max="3347" width="12.6640625" style="15" customWidth="1"/>
    <col min="3348" max="3586" width="10" style="15"/>
    <col min="3587" max="3587" width="7.6640625" style="15" customWidth="1"/>
    <col min="3588" max="3588" width="4.33203125" style="15" customWidth="1"/>
    <col min="3589" max="3590" width="6.83203125" style="15" customWidth="1"/>
    <col min="3591" max="3591" width="6.33203125" style="15" customWidth="1"/>
    <col min="3592" max="3592" width="9" style="15" customWidth="1"/>
    <col min="3593" max="3595" width="8.33203125" style="15" customWidth="1"/>
    <col min="3596" max="3596" width="7.6640625" style="15" customWidth="1"/>
    <col min="3597" max="3597" width="8.83203125" style="15" customWidth="1"/>
    <col min="3598" max="3598" width="10.33203125" style="15" customWidth="1"/>
    <col min="3599" max="3601" width="9.33203125" style="15" customWidth="1"/>
    <col min="3602" max="3602" width="15.6640625" style="15" customWidth="1"/>
    <col min="3603" max="3603" width="12.6640625" style="15" customWidth="1"/>
    <col min="3604" max="3842" width="10" style="15"/>
    <col min="3843" max="3843" width="7.6640625" style="15" customWidth="1"/>
    <col min="3844" max="3844" width="4.33203125" style="15" customWidth="1"/>
    <col min="3845" max="3846" width="6.83203125" style="15" customWidth="1"/>
    <col min="3847" max="3847" width="6.33203125" style="15" customWidth="1"/>
    <col min="3848" max="3848" width="9" style="15" customWidth="1"/>
    <col min="3849" max="3851" width="8.33203125" style="15" customWidth="1"/>
    <col min="3852" max="3852" width="7.6640625" style="15" customWidth="1"/>
    <col min="3853" max="3853" width="8.83203125" style="15" customWidth="1"/>
    <col min="3854" max="3854" width="10.33203125" style="15" customWidth="1"/>
    <col min="3855" max="3857" width="9.33203125" style="15" customWidth="1"/>
    <col min="3858" max="3858" width="15.6640625" style="15" customWidth="1"/>
    <col min="3859" max="3859" width="12.6640625" style="15" customWidth="1"/>
    <col min="3860" max="4098" width="10" style="15"/>
    <col min="4099" max="4099" width="7.6640625" style="15" customWidth="1"/>
    <col min="4100" max="4100" width="4.33203125" style="15" customWidth="1"/>
    <col min="4101" max="4102" width="6.83203125" style="15" customWidth="1"/>
    <col min="4103" max="4103" width="6.33203125" style="15" customWidth="1"/>
    <col min="4104" max="4104" width="9" style="15" customWidth="1"/>
    <col min="4105" max="4107" width="8.33203125" style="15" customWidth="1"/>
    <col min="4108" max="4108" width="7.6640625" style="15" customWidth="1"/>
    <col min="4109" max="4109" width="8.83203125" style="15" customWidth="1"/>
    <col min="4110" max="4110" width="10.33203125" style="15" customWidth="1"/>
    <col min="4111" max="4113" width="9.33203125" style="15" customWidth="1"/>
    <col min="4114" max="4114" width="15.6640625" style="15" customWidth="1"/>
    <col min="4115" max="4115" width="12.6640625" style="15" customWidth="1"/>
    <col min="4116" max="4354" width="10" style="15"/>
    <col min="4355" max="4355" width="7.6640625" style="15" customWidth="1"/>
    <col min="4356" max="4356" width="4.33203125" style="15" customWidth="1"/>
    <col min="4357" max="4358" width="6.83203125" style="15" customWidth="1"/>
    <col min="4359" max="4359" width="6.33203125" style="15" customWidth="1"/>
    <col min="4360" max="4360" width="9" style="15" customWidth="1"/>
    <col min="4361" max="4363" width="8.33203125" style="15" customWidth="1"/>
    <col min="4364" max="4364" width="7.6640625" style="15" customWidth="1"/>
    <col min="4365" max="4365" width="8.83203125" style="15" customWidth="1"/>
    <col min="4366" max="4366" width="10.33203125" style="15" customWidth="1"/>
    <col min="4367" max="4369" width="9.33203125" style="15" customWidth="1"/>
    <col min="4370" max="4370" width="15.6640625" style="15" customWidth="1"/>
    <col min="4371" max="4371" width="12.6640625" style="15" customWidth="1"/>
    <col min="4372" max="4610" width="10" style="15"/>
    <col min="4611" max="4611" width="7.6640625" style="15" customWidth="1"/>
    <col min="4612" max="4612" width="4.33203125" style="15" customWidth="1"/>
    <col min="4613" max="4614" width="6.83203125" style="15" customWidth="1"/>
    <col min="4615" max="4615" width="6.33203125" style="15" customWidth="1"/>
    <col min="4616" max="4616" width="9" style="15" customWidth="1"/>
    <col min="4617" max="4619" width="8.33203125" style="15" customWidth="1"/>
    <col min="4620" max="4620" width="7.6640625" style="15" customWidth="1"/>
    <col min="4621" max="4621" width="8.83203125" style="15" customWidth="1"/>
    <col min="4622" max="4622" width="10.33203125" style="15" customWidth="1"/>
    <col min="4623" max="4625" width="9.33203125" style="15" customWidth="1"/>
    <col min="4626" max="4626" width="15.6640625" style="15" customWidth="1"/>
    <col min="4627" max="4627" width="12.6640625" style="15" customWidth="1"/>
    <col min="4628" max="4866" width="10" style="15"/>
    <col min="4867" max="4867" width="7.6640625" style="15" customWidth="1"/>
    <col min="4868" max="4868" width="4.33203125" style="15" customWidth="1"/>
    <col min="4869" max="4870" width="6.83203125" style="15" customWidth="1"/>
    <col min="4871" max="4871" width="6.33203125" style="15" customWidth="1"/>
    <col min="4872" max="4872" width="9" style="15" customWidth="1"/>
    <col min="4873" max="4875" width="8.33203125" style="15" customWidth="1"/>
    <col min="4876" max="4876" width="7.6640625" style="15" customWidth="1"/>
    <col min="4877" max="4877" width="8.83203125" style="15" customWidth="1"/>
    <col min="4878" max="4878" width="10.33203125" style="15" customWidth="1"/>
    <col min="4879" max="4881" width="9.33203125" style="15" customWidth="1"/>
    <col min="4882" max="4882" width="15.6640625" style="15" customWidth="1"/>
    <col min="4883" max="4883" width="12.6640625" style="15" customWidth="1"/>
    <col min="4884" max="5122" width="10" style="15"/>
    <col min="5123" max="5123" width="7.6640625" style="15" customWidth="1"/>
    <col min="5124" max="5124" width="4.33203125" style="15" customWidth="1"/>
    <col min="5125" max="5126" width="6.83203125" style="15" customWidth="1"/>
    <col min="5127" max="5127" width="6.33203125" style="15" customWidth="1"/>
    <col min="5128" max="5128" width="9" style="15" customWidth="1"/>
    <col min="5129" max="5131" width="8.33203125" style="15" customWidth="1"/>
    <col min="5132" max="5132" width="7.6640625" style="15" customWidth="1"/>
    <col min="5133" max="5133" width="8.83203125" style="15" customWidth="1"/>
    <col min="5134" max="5134" width="10.33203125" style="15" customWidth="1"/>
    <col min="5135" max="5137" width="9.33203125" style="15" customWidth="1"/>
    <col min="5138" max="5138" width="15.6640625" style="15" customWidth="1"/>
    <col min="5139" max="5139" width="12.6640625" style="15" customWidth="1"/>
    <col min="5140" max="5378" width="10" style="15"/>
    <col min="5379" max="5379" width="7.6640625" style="15" customWidth="1"/>
    <col min="5380" max="5380" width="4.33203125" style="15" customWidth="1"/>
    <col min="5381" max="5382" width="6.83203125" style="15" customWidth="1"/>
    <col min="5383" max="5383" width="6.33203125" style="15" customWidth="1"/>
    <col min="5384" max="5384" width="9" style="15" customWidth="1"/>
    <col min="5385" max="5387" width="8.33203125" style="15" customWidth="1"/>
    <col min="5388" max="5388" width="7.6640625" style="15" customWidth="1"/>
    <col min="5389" max="5389" width="8.83203125" style="15" customWidth="1"/>
    <col min="5390" max="5390" width="10.33203125" style="15" customWidth="1"/>
    <col min="5391" max="5393" width="9.33203125" style="15" customWidth="1"/>
    <col min="5394" max="5394" width="15.6640625" style="15" customWidth="1"/>
    <col min="5395" max="5395" width="12.6640625" style="15" customWidth="1"/>
    <col min="5396" max="5634" width="10" style="15"/>
    <col min="5635" max="5635" width="7.6640625" style="15" customWidth="1"/>
    <col min="5636" max="5636" width="4.33203125" style="15" customWidth="1"/>
    <col min="5637" max="5638" width="6.83203125" style="15" customWidth="1"/>
    <col min="5639" max="5639" width="6.33203125" style="15" customWidth="1"/>
    <col min="5640" max="5640" width="9" style="15" customWidth="1"/>
    <col min="5641" max="5643" width="8.33203125" style="15" customWidth="1"/>
    <col min="5644" max="5644" width="7.6640625" style="15" customWidth="1"/>
    <col min="5645" max="5645" width="8.83203125" style="15" customWidth="1"/>
    <col min="5646" max="5646" width="10.33203125" style="15" customWidth="1"/>
    <col min="5647" max="5649" width="9.33203125" style="15" customWidth="1"/>
    <col min="5650" max="5650" width="15.6640625" style="15" customWidth="1"/>
    <col min="5651" max="5651" width="12.6640625" style="15" customWidth="1"/>
    <col min="5652" max="5890" width="10" style="15"/>
    <col min="5891" max="5891" width="7.6640625" style="15" customWidth="1"/>
    <col min="5892" max="5892" width="4.33203125" style="15" customWidth="1"/>
    <col min="5893" max="5894" width="6.83203125" style="15" customWidth="1"/>
    <col min="5895" max="5895" width="6.33203125" style="15" customWidth="1"/>
    <col min="5896" max="5896" width="9" style="15" customWidth="1"/>
    <col min="5897" max="5899" width="8.33203125" style="15" customWidth="1"/>
    <col min="5900" max="5900" width="7.6640625" style="15" customWidth="1"/>
    <col min="5901" max="5901" width="8.83203125" style="15" customWidth="1"/>
    <col min="5902" max="5902" width="10.33203125" style="15" customWidth="1"/>
    <col min="5903" max="5905" width="9.33203125" style="15" customWidth="1"/>
    <col min="5906" max="5906" width="15.6640625" style="15" customWidth="1"/>
    <col min="5907" max="5907" width="12.6640625" style="15" customWidth="1"/>
    <col min="5908" max="6146" width="10" style="15"/>
    <col min="6147" max="6147" width="7.6640625" style="15" customWidth="1"/>
    <col min="6148" max="6148" width="4.33203125" style="15" customWidth="1"/>
    <col min="6149" max="6150" width="6.83203125" style="15" customWidth="1"/>
    <col min="6151" max="6151" width="6.33203125" style="15" customWidth="1"/>
    <col min="6152" max="6152" width="9" style="15" customWidth="1"/>
    <col min="6153" max="6155" width="8.33203125" style="15" customWidth="1"/>
    <col min="6156" max="6156" width="7.6640625" style="15" customWidth="1"/>
    <col min="6157" max="6157" width="8.83203125" style="15" customWidth="1"/>
    <col min="6158" max="6158" width="10.33203125" style="15" customWidth="1"/>
    <col min="6159" max="6161" width="9.33203125" style="15" customWidth="1"/>
    <col min="6162" max="6162" width="15.6640625" style="15" customWidth="1"/>
    <col min="6163" max="6163" width="12.6640625" style="15" customWidth="1"/>
    <col min="6164" max="6402" width="10" style="15"/>
    <col min="6403" max="6403" width="7.6640625" style="15" customWidth="1"/>
    <col min="6404" max="6404" width="4.33203125" style="15" customWidth="1"/>
    <col min="6405" max="6406" width="6.83203125" style="15" customWidth="1"/>
    <col min="6407" max="6407" width="6.33203125" style="15" customWidth="1"/>
    <col min="6408" max="6408" width="9" style="15" customWidth="1"/>
    <col min="6409" max="6411" width="8.33203125" style="15" customWidth="1"/>
    <col min="6412" max="6412" width="7.6640625" style="15" customWidth="1"/>
    <col min="6413" max="6413" width="8.83203125" style="15" customWidth="1"/>
    <col min="6414" max="6414" width="10.33203125" style="15" customWidth="1"/>
    <col min="6415" max="6417" width="9.33203125" style="15" customWidth="1"/>
    <col min="6418" max="6418" width="15.6640625" style="15" customWidth="1"/>
    <col min="6419" max="6419" width="12.6640625" style="15" customWidth="1"/>
    <col min="6420" max="6658" width="10" style="15"/>
    <col min="6659" max="6659" width="7.6640625" style="15" customWidth="1"/>
    <col min="6660" max="6660" width="4.33203125" style="15" customWidth="1"/>
    <col min="6661" max="6662" width="6.83203125" style="15" customWidth="1"/>
    <col min="6663" max="6663" width="6.33203125" style="15" customWidth="1"/>
    <col min="6664" max="6664" width="9" style="15" customWidth="1"/>
    <col min="6665" max="6667" width="8.33203125" style="15" customWidth="1"/>
    <col min="6668" max="6668" width="7.6640625" style="15" customWidth="1"/>
    <col min="6669" max="6669" width="8.83203125" style="15" customWidth="1"/>
    <col min="6670" max="6670" width="10.33203125" style="15" customWidth="1"/>
    <col min="6671" max="6673" width="9.33203125" style="15" customWidth="1"/>
    <col min="6674" max="6674" width="15.6640625" style="15" customWidth="1"/>
    <col min="6675" max="6675" width="12.6640625" style="15" customWidth="1"/>
    <col min="6676" max="6914" width="10" style="15"/>
    <col min="6915" max="6915" width="7.6640625" style="15" customWidth="1"/>
    <col min="6916" max="6916" width="4.33203125" style="15" customWidth="1"/>
    <col min="6917" max="6918" width="6.83203125" style="15" customWidth="1"/>
    <col min="6919" max="6919" width="6.33203125" style="15" customWidth="1"/>
    <col min="6920" max="6920" width="9" style="15" customWidth="1"/>
    <col min="6921" max="6923" width="8.33203125" style="15" customWidth="1"/>
    <col min="6924" max="6924" width="7.6640625" style="15" customWidth="1"/>
    <col min="6925" max="6925" width="8.83203125" style="15" customWidth="1"/>
    <col min="6926" max="6926" width="10.33203125" style="15" customWidth="1"/>
    <col min="6927" max="6929" width="9.33203125" style="15" customWidth="1"/>
    <col min="6930" max="6930" width="15.6640625" style="15" customWidth="1"/>
    <col min="6931" max="6931" width="12.6640625" style="15" customWidth="1"/>
    <col min="6932" max="7170" width="10" style="15"/>
    <col min="7171" max="7171" width="7.6640625" style="15" customWidth="1"/>
    <col min="7172" max="7172" width="4.33203125" style="15" customWidth="1"/>
    <col min="7173" max="7174" width="6.83203125" style="15" customWidth="1"/>
    <col min="7175" max="7175" width="6.33203125" style="15" customWidth="1"/>
    <col min="7176" max="7176" width="9" style="15" customWidth="1"/>
    <col min="7177" max="7179" width="8.33203125" style="15" customWidth="1"/>
    <col min="7180" max="7180" width="7.6640625" style="15" customWidth="1"/>
    <col min="7181" max="7181" width="8.83203125" style="15" customWidth="1"/>
    <col min="7182" max="7182" width="10.33203125" style="15" customWidth="1"/>
    <col min="7183" max="7185" width="9.33203125" style="15" customWidth="1"/>
    <col min="7186" max="7186" width="15.6640625" style="15" customWidth="1"/>
    <col min="7187" max="7187" width="12.6640625" style="15" customWidth="1"/>
    <col min="7188" max="7426" width="10" style="15"/>
    <col min="7427" max="7427" width="7.6640625" style="15" customWidth="1"/>
    <col min="7428" max="7428" width="4.33203125" style="15" customWidth="1"/>
    <col min="7429" max="7430" width="6.83203125" style="15" customWidth="1"/>
    <col min="7431" max="7431" width="6.33203125" style="15" customWidth="1"/>
    <col min="7432" max="7432" width="9" style="15" customWidth="1"/>
    <col min="7433" max="7435" width="8.33203125" style="15" customWidth="1"/>
    <col min="7436" max="7436" width="7.6640625" style="15" customWidth="1"/>
    <col min="7437" max="7437" width="8.83203125" style="15" customWidth="1"/>
    <col min="7438" max="7438" width="10.33203125" style="15" customWidth="1"/>
    <col min="7439" max="7441" width="9.33203125" style="15" customWidth="1"/>
    <col min="7442" max="7442" width="15.6640625" style="15" customWidth="1"/>
    <col min="7443" max="7443" width="12.6640625" style="15" customWidth="1"/>
    <col min="7444" max="7682" width="10" style="15"/>
    <col min="7683" max="7683" width="7.6640625" style="15" customWidth="1"/>
    <col min="7684" max="7684" width="4.33203125" style="15" customWidth="1"/>
    <col min="7685" max="7686" width="6.83203125" style="15" customWidth="1"/>
    <col min="7687" max="7687" width="6.33203125" style="15" customWidth="1"/>
    <col min="7688" max="7688" width="9" style="15" customWidth="1"/>
    <col min="7689" max="7691" width="8.33203125" style="15" customWidth="1"/>
    <col min="7692" max="7692" width="7.6640625" style="15" customWidth="1"/>
    <col min="7693" max="7693" width="8.83203125" style="15" customWidth="1"/>
    <col min="7694" max="7694" width="10.33203125" style="15" customWidth="1"/>
    <col min="7695" max="7697" width="9.33203125" style="15" customWidth="1"/>
    <col min="7698" max="7698" width="15.6640625" style="15" customWidth="1"/>
    <col min="7699" max="7699" width="12.6640625" style="15" customWidth="1"/>
    <col min="7700" max="7938" width="10" style="15"/>
    <col min="7939" max="7939" width="7.6640625" style="15" customWidth="1"/>
    <col min="7940" max="7940" width="4.33203125" style="15" customWidth="1"/>
    <col min="7941" max="7942" width="6.83203125" style="15" customWidth="1"/>
    <col min="7943" max="7943" width="6.33203125" style="15" customWidth="1"/>
    <col min="7944" max="7944" width="9" style="15" customWidth="1"/>
    <col min="7945" max="7947" width="8.33203125" style="15" customWidth="1"/>
    <col min="7948" max="7948" width="7.6640625" style="15" customWidth="1"/>
    <col min="7949" max="7949" width="8.83203125" style="15" customWidth="1"/>
    <col min="7950" max="7950" width="10.33203125" style="15" customWidth="1"/>
    <col min="7951" max="7953" width="9.33203125" style="15" customWidth="1"/>
    <col min="7954" max="7954" width="15.6640625" style="15" customWidth="1"/>
    <col min="7955" max="7955" width="12.6640625" style="15" customWidth="1"/>
    <col min="7956" max="8194" width="10" style="15"/>
    <col min="8195" max="8195" width="7.6640625" style="15" customWidth="1"/>
    <col min="8196" max="8196" width="4.33203125" style="15" customWidth="1"/>
    <col min="8197" max="8198" width="6.83203125" style="15" customWidth="1"/>
    <col min="8199" max="8199" width="6.33203125" style="15" customWidth="1"/>
    <col min="8200" max="8200" width="9" style="15" customWidth="1"/>
    <col min="8201" max="8203" width="8.33203125" style="15" customWidth="1"/>
    <col min="8204" max="8204" width="7.6640625" style="15" customWidth="1"/>
    <col min="8205" max="8205" width="8.83203125" style="15" customWidth="1"/>
    <col min="8206" max="8206" width="10.33203125" style="15" customWidth="1"/>
    <col min="8207" max="8209" width="9.33203125" style="15" customWidth="1"/>
    <col min="8210" max="8210" width="15.6640625" style="15" customWidth="1"/>
    <col min="8211" max="8211" width="12.6640625" style="15" customWidth="1"/>
    <col min="8212" max="8450" width="10" style="15"/>
    <col min="8451" max="8451" width="7.6640625" style="15" customWidth="1"/>
    <col min="8452" max="8452" width="4.33203125" style="15" customWidth="1"/>
    <col min="8453" max="8454" width="6.83203125" style="15" customWidth="1"/>
    <col min="8455" max="8455" width="6.33203125" style="15" customWidth="1"/>
    <col min="8456" max="8456" width="9" style="15" customWidth="1"/>
    <col min="8457" max="8459" width="8.33203125" style="15" customWidth="1"/>
    <col min="8460" max="8460" width="7.6640625" style="15" customWidth="1"/>
    <col min="8461" max="8461" width="8.83203125" style="15" customWidth="1"/>
    <col min="8462" max="8462" width="10.33203125" style="15" customWidth="1"/>
    <col min="8463" max="8465" width="9.33203125" style="15" customWidth="1"/>
    <col min="8466" max="8466" width="15.6640625" style="15" customWidth="1"/>
    <col min="8467" max="8467" width="12.6640625" style="15" customWidth="1"/>
    <col min="8468" max="8706" width="10" style="15"/>
    <col min="8707" max="8707" width="7.6640625" style="15" customWidth="1"/>
    <col min="8708" max="8708" width="4.33203125" style="15" customWidth="1"/>
    <col min="8709" max="8710" width="6.83203125" style="15" customWidth="1"/>
    <col min="8711" max="8711" width="6.33203125" style="15" customWidth="1"/>
    <col min="8712" max="8712" width="9" style="15" customWidth="1"/>
    <col min="8713" max="8715" width="8.33203125" style="15" customWidth="1"/>
    <col min="8716" max="8716" width="7.6640625" style="15" customWidth="1"/>
    <col min="8717" max="8717" width="8.83203125" style="15" customWidth="1"/>
    <col min="8718" max="8718" width="10.33203125" style="15" customWidth="1"/>
    <col min="8719" max="8721" width="9.33203125" style="15" customWidth="1"/>
    <col min="8722" max="8722" width="15.6640625" style="15" customWidth="1"/>
    <col min="8723" max="8723" width="12.6640625" style="15" customWidth="1"/>
    <col min="8724" max="8962" width="10" style="15"/>
    <col min="8963" max="8963" width="7.6640625" style="15" customWidth="1"/>
    <col min="8964" max="8964" width="4.33203125" style="15" customWidth="1"/>
    <col min="8965" max="8966" width="6.83203125" style="15" customWidth="1"/>
    <col min="8967" max="8967" width="6.33203125" style="15" customWidth="1"/>
    <col min="8968" max="8968" width="9" style="15" customWidth="1"/>
    <col min="8969" max="8971" width="8.33203125" style="15" customWidth="1"/>
    <col min="8972" max="8972" width="7.6640625" style="15" customWidth="1"/>
    <col min="8973" max="8973" width="8.83203125" style="15" customWidth="1"/>
    <col min="8974" max="8974" width="10.33203125" style="15" customWidth="1"/>
    <col min="8975" max="8977" width="9.33203125" style="15" customWidth="1"/>
    <col min="8978" max="8978" width="15.6640625" style="15" customWidth="1"/>
    <col min="8979" max="8979" width="12.6640625" style="15" customWidth="1"/>
    <col min="8980" max="9218" width="10" style="15"/>
    <col min="9219" max="9219" width="7.6640625" style="15" customWidth="1"/>
    <col min="9220" max="9220" width="4.33203125" style="15" customWidth="1"/>
    <col min="9221" max="9222" width="6.83203125" style="15" customWidth="1"/>
    <col min="9223" max="9223" width="6.33203125" style="15" customWidth="1"/>
    <col min="9224" max="9224" width="9" style="15" customWidth="1"/>
    <col min="9225" max="9227" width="8.33203125" style="15" customWidth="1"/>
    <col min="9228" max="9228" width="7.6640625" style="15" customWidth="1"/>
    <col min="9229" max="9229" width="8.83203125" style="15" customWidth="1"/>
    <col min="9230" max="9230" width="10.33203125" style="15" customWidth="1"/>
    <col min="9231" max="9233" width="9.33203125" style="15" customWidth="1"/>
    <col min="9234" max="9234" width="15.6640625" style="15" customWidth="1"/>
    <col min="9235" max="9235" width="12.6640625" style="15" customWidth="1"/>
    <col min="9236" max="9474" width="10" style="15"/>
    <col min="9475" max="9475" width="7.6640625" style="15" customWidth="1"/>
    <col min="9476" max="9476" width="4.33203125" style="15" customWidth="1"/>
    <col min="9477" max="9478" width="6.83203125" style="15" customWidth="1"/>
    <col min="9479" max="9479" width="6.33203125" style="15" customWidth="1"/>
    <col min="9480" max="9480" width="9" style="15" customWidth="1"/>
    <col min="9481" max="9483" width="8.33203125" style="15" customWidth="1"/>
    <col min="9484" max="9484" width="7.6640625" style="15" customWidth="1"/>
    <col min="9485" max="9485" width="8.83203125" style="15" customWidth="1"/>
    <col min="9486" max="9486" width="10.33203125" style="15" customWidth="1"/>
    <col min="9487" max="9489" width="9.33203125" style="15" customWidth="1"/>
    <col min="9490" max="9490" width="15.6640625" style="15" customWidth="1"/>
    <col min="9491" max="9491" width="12.6640625" style="15" customWidth="1"/>
    <col min="9492" max="9730" width="10" style="15"/>
    <col min="9731" max="9731" width="7.6640625" style="15" customWidth="1"/>
    <col min="9732" max="9732" width="4.33203125" style="15" customWidth="1"/>
    <col min="9733" max="9734" width="6.83203125" style="15" customWidth="1"/>
    <col min="9735" max="9735" width="6.33203125" style="15" customWidth="1"/>
    <col min="9736" max="9736" width="9" style="15" customWidth="1"/>
    <col min="9737" max="9739" width="8.33203125" style="15" customWidth="1"/>
    <col min="9740" max="9740" width="7.6640625" style="15" customWidth="1"/>
    <col min="9741" max="9741" width="8.83203125" style="15" customWidth="1"/>
    <col min="9742" max="9742" width="10.33203125" style="15" customWidth="1"/>
    <col min="9743" max="9745" width="9.33203125" style="15" customWidth="1"/>
    <col min="9746" max="9746" width="15.6640625" style="15" customWidth="1"/>
    <col min="9747" max="9747" width="12.6640625" style="15" customWidth="1"/>
    <col min="9748" max="9986" width="10" style="15"/>
    <col min="9987" max="9987" width="7.6640625" style="15" customWidth="1"/>
    <col min="9988" max="9988" width="4.33203125" style="15" customWidth="1"/>
    <col min="9989" max="9990" width="6.83203125" style="15" customWidth="1"/>
    <col min="9991" max="9991" width="6.33203125" style="15" customWidth="1"/>
    <col min="9992" max="9992" width="9" style="15" customWidth="1"/>
    <col min="9993" max="9995" width="8.33203125" style="15" customWidth="1"/>
    <col min="9996" max="9996" width="7.6640625" style="15" customWidth="1"/>
    <col min="9997" max="9997" width="8.83203125" style="15" customWidth="1"/>
    <col min="9998" max="9998" width="10.33203125" style="15" customWidth="1"/>
    <col min="9999" max="10001" width="9.33203125" style="15" customWidth="1"/>
    <col min="10002" max="10002" width="15.6640625" style="15" customWidth="1"/>
    <col min="10003" max="10003" width="12.6640625" style="15" customWidth="1"/>
    <col min="10004" max="10242" width="10" style="15"/>
    <col min="10243" max="10243" width="7.6640625" style="15" customWidth="1"/>
    <col min="10244" max="10244" width="4.33203125" style="15" customWidth="1"/>
    <col min="10245" max="10246" width="6.83203125" style="15" customWidth="1"/>
    <col min="10247" max="10247" width="6.33203125" style="15" customWidth="1"/>
    <col min="10248" max="10248" width="9" style="15" customWidth="1"/>
    <col min="10249" max="10251" width="8.33203125" style="15" customWidth="1"/>
    <col min="10252" max="10252" width="7.6640625" style="15" customWidth="1"/>
    <col min="10253" max="10253" width="8.83203125" style="15" customWidth="1"/>
    <col min="10254" max="10254" width="10.33203125" style="15" customWidth="1"/>
    <col min="10255" max="10257" width="9.33203125" style="15" customWidth="1"/>
    <col min="10258" max="10258" width="15.6640625" style="15" customWidth="1"/>
    <col min="10259" max="10259" width="12.6640625" style="15" customWidth="1"/>
    <col min="10260" max="10498" width="10" style="15"/>
    <col min="10499" max="10499" width="7.6640625" style="15" customWidth="1"/>
    <col min="10500" max="10500" width="4.33203125" style="15" customWidth="1"/>
    <col min="10501" max="10502" width="6.83203125" style="15" customWidth="1"/>
    <col min="10503" max="10503" width="6.33203125" style="15" customWidth="1"/>
    <col min="10504" max="10504" width="9" style="15" customWidth="1"/>
    <col min="10505" max="10507" width="8.33203125" style="15" customWidth="1"/>
    <col min="10508" max="10508" width="7.6640625" style="15" customWidth="1"/>
    <col min="10509" max="10509" width="8.83203125" style="15" customWidth="1"/>
    <col min="10510" max="10510" width="10.33203125" style="15" customWidth="1"/>
    <col min="10511" max="10513" width="9.33203125" style="15" customWidth="1"/>
    <col min="10514" max="10514" width="15.6640625" style="15" customWidth="1"/>
    <col min="10515" max="10515" width="12.6640625" style="15" customWidth="1"/>
    <col min="10516" max="10754" width="10" style="15"/>
    <col min="10755" max="10755" width="7.6640625" style="15" customWidth="1"/>
    <col min="10756" max="10756" width="4.33203125" style="15" customWidth="1"/>
    <col min="10757" max="10758" width="6.83203125" style="15" customWidth="1"/>
    <col min="10759" max="10759" width="6.33203125" style="15" customWidth="1"/>
    <col min="10760" max="10760" width="9" style="15" customWidth="1"/>
    <col min="10761" max="10763" width="8.33203125" style="15" customWidth="1"/>
    <col min="10764" max="10764" width="7.6640625" style="15" customWidth="1"/>
    <col min="10765" max="10765" width="8.83203125" style="15" customWidth="1"/>
    <col min="10766" max="10766" width="10.33203125" style="15" customWidth="1"/>
    <col min="10767" max="10769" width="9.33203125" style="15" customWidth="1"/>
    <col min="10770" max="10770" width="15.6640625" style="15" customWidth="1"/>
    <col min="10771" max="10771" width="12.6640625" style="15" customWidth="1"/>
    <col min="10772" max="11010" width="10" style="15"/>
    <col min="11011" max="11011" width="7.6640625" style="15" customWidth="1"/>
    <col min="11012" max="11012" width="4.33203125" style="15" customWidth="1"/>
    <col min="11013" max="11014" width="6.83203125" style="15" customWidth="1"/>
    <col min="11015" max="11015" width="6.33203125" style="15" customWidth="1"/>
    <col min="11016" max="11016" width="9" style="15" customWidth="1"/>
    <col min="11017" max="11019" width="8.33203125" style="15" customWidth="1"/>
    <col min="11020" max="11020" width="7.6640625" style="15" customWidth="1"/>
    <col min="11021" max="11021" width="8.83203125" style="15" customWidth="1"/>
    <col min="11022" max="11022" width="10.33203125" style="15" customWidth="1"/>
    <col min="11023" max="11025" width="9.33203125" style="15" customWidth="1"/>
    <col min="11026" max="11026" width="15.6640625" style="15" customWidth="1"/>
    <col min="11027" max="11027" width="12.6640625" style="15" customWidth="1"/>
    <col min="11028" max="11266" width="10" style="15"/>
    <col min="11267" max="11267" width="7.6640625" style="15" customWidth="1"/>
    <col min="11268" max="11268" width="4.33203125" style="15" customWidth="1"/>
    <col min="11269" max="11270" width="6.83203125" style="15" customWidth="1"/>
    <col min="11271" max="11271" width="6.33203125" style="15" customWidth="1"/>
    <col min="11272" max="11272" width="9" style="15" customWidth="1"/>
    <col min="11273" max="11275" width="8.33203125" style="15" customWidth="1"/>
    <col min="11276" max="11276" width="7.6640625" style="15" customWidth="1"/>
    <col min="11277" max="11277" width="8.83203125" style="15" customWidth="1"/>
    <col min="11278" max="11278" width="10.33203125" style="15" customWidth="1"/>
    <col min="11279" max="11281" width="9.33203125" style="15" customWidth="1"/>
    <col min="11282" max="11282" width="15.6640625" style="15" customWidth="1"/>
    <col min="11283" max="11283" width="12.6640625" style="15" customWidth="1"/>
    <col min="11284" max="11522" width="10" style="15"/>
    <col min="11523" max="11523" width="7.6640625" style="15" customWidth="1"/>
    <col min="11524" max="11524" width="4.33203125" style="15" customWidth="1"/>
    <col min="11525" max="11526" width="6.83203125" style="15" customWidth="1"/>
    <col min="11527" max="11527" width="6.33203125" style="15" customWidth="1"/>
    <col min="11528" max="11528" width="9" style="15" customWidth="1"/>
    <col min="11529" max="11531" width="8.33203125" style="15" customWidth="1"/>
    <col min="11532" max="11532" width="7.6640625" style="15" customWidth="1"/>
    <col min="11533" max="11533" width="8.83203125" style="15" customWidth="1"/>
    <col min="11534" max="11534" width="10.33203125" style="15" customWidth="1"/>
    <col min="11535" max="11537" width="9.33203125" style="15" customWidth="1"/>
    <col min="11538" max="11538" width="15.6640625" style="15" customWidth="1"/>
    <col min="11539" max="11539" width="12.6640625" style="15" customWidth="1"/>
    <col min="11540" max="11778" width="10" style="15"/>
    <col min="11779" max="11779" width="7.6640625" style="15" customWidth="1"/>
    <col min="11780" max="11780" width="4.33203125" style="15" customWidth="1"/>
    <col min="11781" max="11782" width="6.83203125" style="15" customWidth="1"/>
    <col min="11783" max="11783" width="6.33203125" style="15" customWidth="1"/>
    <col min="11784" max="11784" width="9" style="15" customWidth="1"/>
    <col min="11785" max="11787" width="8.33203125" style="15" customWidth="1"/>
    <col min="11788" max="11788" width="7.6640625" style="15" customWidth="1"/>
    <col min="11789" max="11789" width="8.83203125" style="15" customWidth="1"/>
    <col min="11790" max="11790" width="10.33203125" style="15" customWidth="1"/>
    <col min="11791" max="11793" width="9.33203125" style="15" customWidth="1"/>
    <col min="11794" max="11794" width="15.6640625" style="15" customWidth="1"/>
    <col min="11795" max="11795" width="12.6640625" style="15" customWidth="1"/>
    <col min="11796" max="12034" width="10" style="15"/>
    <col min="12035" max="12035" width="7.6640625" style="15" customWidth="1"/>
    <col min="12036" max="12036" width="4.33203125" style="15" customWidth="1"/>
    <col min="12037" max="12038" width="6.83203125" style="15" customWidth="1"/>
    <col min="12039" max="12039" width="6.33203125" style="15" customWidth="1"/>
    <col min="12040" max="12040" width="9" style="15" customWidth="1"/>
    <col min="12041" max="12043" width="8.33203125" style="15" customWidth="1"/>
    <col min="12044" max="12044" width="7.6640625" style="15" customWidth="1"/>
    <col min="12045" max="12045" width="8.83203125" style="15" customWidth="1"/>
    <col min="12046" max="12046" width="10.33203125" style="15" customWidth="1"/>
    <col min="12047" max="12049" width="9.33203125" style="15" customWidth="1"/>
    <col min="12050" max="12050" width="15.6640625" style="15" customWidth="1"/>
    <col min="12051" max="12051" width="12.6640625" style="15" customWidth="1"/>
    <col min="12052" max="12290" width="10" style="15"/>
    <col min="12291" max="12291" width="7.6640625" style="15" customWidth="1"/>
    <col min="12292" max="12292" width="4.33203125" style="15" customWidth="1"/>
    <col min="12293" max="12294" width="6.83203125" style="15" customWidth="1"/>
    <col min="12295" max="12295" width="6.33203125" style="15" customWidth="1"/>
    <col min="12296" max="12296" width="9" style="15" customWidth="1"/>
    <col min="12297" max="12299" width="8.33203125" style="15" customWidth="1"/>
    <col min="12300" max="12300" width="7.6640625" style="15" customWidth="1"/>
    <col min="12301" max="12301" width="8.83203125" style="15" customWidth="1"/>
    <col min="12302" max="12302" width="10.33203125" style="15" customWidth="1"/>
    <col min="12303" max="12305" width="9.33203125" style="15" customWidth="1"/>
    <col min="12306" max="12306" width="15.6640625" style="15" customWidth="1"/>
    <col min="12307" max="12307" width="12.6640625" style="15" customWidth="1"/>
    <col min="12308" max="12546" width="10" style="15"/>
    <col min="12547" max="12547" width="7.6640625" style="15" customWidth="1"/>
    <col min="12548" max="12548" width="4.33203125" style="15" customWidth="1"/>
    <col min="12549" max="12550" width="6.83203125" style="15" customWidth="1"/>
    <col min="12551" max="12551" width="6.33203125" style="15" customWidth="1"/>
    <col min="12552" max="12552" width="9" style="15" customWidth="1"/>
    <col min="12553" max="12555" width="8.33203125" style="15" customWidth="1"/>
    <col min="12556" max="12556" width="7.6640625" style="15" customWidth="1"/>
    <col min="12557" max="12557" width="8.83203125" style="15" customWidth="1"/>
    <col min="12558" max="12558" width="10.33203125" style="15" customWidth="1"/>
    <col min="12559" max="12561" width="9.33203125" style="15" customWidth="1"/>
    <col min="12562" max="12562" width="15.6640625" style="15" customWidth="1"/>
    <col min="12563" max="12563" width="12.6640625" style="15" customWidth="1"/>
    <col min="12564" max="12802" width="10" style="15"/>
    <col min="12803" max="12803" width="7.6640625" style="15" customWidth="1"/>
    <col min="12804" max="12804" width="4.33203125" style="15" customWidth="1"/>
    <col min="12805" max="12806" width="6.83203125" style="15" customWidth="1"/>
    <col min="12807" max="12807" width="6.33203125" style="15" customWidth="1"/>
    <col min="12808" max="12808" width="9" style="15" customWidth="1"/>
    <col min="12809" max="12811" width="8.33203125" style="15" customWidth="1"/>
    <col min="12812" max="12812" width="7.6640625" style="15" customWidth="1"/>
    <col min="12813" max="12813" width="8.83203125" style="15" customWidth="1"/>
    <col min="12814" max="12814" width="10.33203125" style="15" customWidth="1"/>
    <col min="12815" max="12817" width="9.33203125" style="15" customWidth="1"/>
    <col min="12818" max="12818" width="15.6640625" style="15" customWidth="1"/>
    <col min="12819" max="12819" width="12.6640625" style="15" customWidth="1"/>
    <col min="12820" max="13058" width="10" style="15"/>
    <col min="13059" max="13059" width="7.6640625" style="15" customWidth="1"/>
    <col min="13060" max="13060" width="4.33203125" style="15" customWidth="1"/>
    <col min="13061" max="13062" width="6.83203125" style="15" customWidth="1"/>
    <col min="13063" max="13063" width="6.33203125" style="15" customWidth="1"/>
    <col min="13064" max="13064" width="9" style="15" customWidth="1"/>
    <col min="13065" max="13067" width="8.33203125" style="15" customWidth="1"/>
    <col min="13068" max="13068" width="7.6640625" style="15" customWidth="1"/>
    <col min="13069" max="13069" width="8.83203125" style="15" customWidth="1"/>
    <col min="13070" max="13070" width="10.33203125" style="15" customWidth="1"/>
    <col min="13071" max="13073" width="9.33203125" style="15" customWidth="1"/>
    <col min="13074" max="13074" width="15.6640625" style="15" customWidth="1"/>
    <col min="13075" max="13075" width="12.6640625" style="15" customWidth="1"/>
    <col min="13076" max="13314" width="10" style="15"/>
    <col min="13315" max="13315" width="7.6640625" style="15" customWidth="1"/>
    <col min="13316" max="13316" width="4.33203125" style="15" customWidth="1"/>
    <col min="13317" max="13318" width="6.83203125" style="15" customWidth="1"/>
    <col min="13319" max="13319" width="6.33203125" style="15" customWidth="1"/>
    <col min="13320" max="13320" width="9" style="15" customWidth="1"/>
    <col min="13321" max="13323" width="8.33203125" style="15" customWidth="1"/>
    <col min="13324" max="13324" width="7.6640625" style="15" customWidth="1"/>
    <col min="13325" max="13325" width="8.83203125" style="15" customWidth="1"/>
    <col min="13326" max="13326" width="10.33203125" style="15" customWidth="1"/>
    <col min="13327" max="13329" width="9.33203125" style="15" customWidth="1"/>
    <col min="13330" max="13330" width="15.6640625" style="15" customWidth="1"/>
    <col min="13331" max="13331" width="12.6640625" style="15" customWidth="1"/>
    <col min="13332" max="13570" width="10" style="15"/>
    <col min="13571" max="13571" width="7.6640625" style="15" customWidth="1"/>
    <col min="13572" max="13572" width="4.33203125" style="15" customWidth="1"/>
    <col min="13573" max="13574" width="6.83203125" style="15" customWidth="1"/>
    <col min="13575" max="13575" width="6.33203125" style="15" customWidth="1"/>
    <col min="13576" max="13576" width="9" style="15" customWidth="1"/>
    <col min="13577" max="13579" width="8.33203125" style="15" customWidth="1"/>
    <col min="13580" max="13580" width="7.6640625" style="15" customWidth="1"/>
    <col min="13581" max="13581" width="8.83203125" style="15" customWidth="1"/>
    <col min="13582" max="13582" width="10.33203125" style="15" customWidth="1"/>
    <col min="13583" max="13585" width="9.33203125" style="15" customWidth="1"/>
    <col min="13586" max="13586" width="15.6640625" style="15" customWidth="1"/>
    <col min="13587" max="13587" width="12.6640625" style="15" customWidth="1"/>
    <col min="13588" max="13826" width="10" style="15"/>
    <col min="13827" max="13827" width="7.6640625" style="15" customWidth="1"/>
    <col min="13828" max="13828" width="4.33203125" style="15" customWidth="1"/>
    <col min="13829" max="13830" width="6.83203125" style="15" customWidth="1"/>
    <col min="13831" max="13831" width="6.33203125" style="15" customWidth="1"/>
    <col min="13832" max="13832" width="9" style="15" customWidth="1"/>
    <col min="13833" max="13835" width="8.33203125" style="15" customWidth="1"/>
    <col min="13836" max="13836" width="7.6640625" style="15" customWidth="1"/>
    <col min="13837" max="13837" width="8.83203125" style="15" customWidth="1"/>
    <col min="13838" max="13838" width="10.33203125" style="15" customWidth="1"/>
    <col min="13839" max="13841" width="9.33203125" style="15" customWidth="1"/>
    <col min="13842" max="13842" width="15.6640625" style="15" customWidth="1"/>
    <col min="13843" max="13843" width="12.6640625" style="15" customWidth="1"/>
    <col min="13844" max="14082" width="10" style="15"/>
    <col min="14083" max="14083" width="7.6640625" style="15" customWidth="1"/>
    <col min="14084" max="14084" width="4.33203125" style="15" customWidth="1"/>
    <col min="14085" max="14086" width="6.83203125" style="15" customWidth="1"/>
    <col min="14087" max="14087" width="6.33203125" style="15" customWidth="1"/>
    <col min="14088" max="14088" width="9" style="15" customWidth="1"/>
    <col min="14089" max="14091" width="8.33203125" style="15" customWidth="1"/>
    <col min="14092" max="14092" width="7.6640625" style="15" customWidth="1"/>
    <col min="14093" max="14093" width="8.83203125" style="15" customWidth="1"/>
    <col min="14094" max="14094" width="10.33203125" style="15" customWidth="1"/>
    <col min="14095" max="14097" width="9.33203125" style="15" customWidth="1"/>
    <col min="14098" max="14098" width="15.6640625" style="15" customWidth="1"/>
    <col min="14099" max="14099" width="12.6640625" style="15" customWidth="1"/>
    <col min="14100" max="14338" width="10" style="15"/>
    <col min="14339" max="14339" width="7.6640625" style="15" customWidth="1"/>
    <col min="14340" max="14340" width="4.33203125" style="15" customWidth="1"/>
    <col min="14341" max="14342" width="6.83203125" style="15" customWidth="1"/>
    <col min="14343" max="14343" width="6.33203125" style="15" customWidth="1"/>
    <col min="14344" max="14344" width="9" style="15" customWidth="1"/>
    <col min="14345" max="14347" width="8.33203125" style="15" customWidth="1"/>
    <col min="14348" max="14348" width="7.6640625" style="15" customWidth="1"/>
    <col min="14349" max="14349" width="8.83203125" style="15" customWidth="1"/>
    <col min="14350" max="14350" width="10.33203125" style="15" customWidth="1"/>
    <col min="14351" max="14353" width="9.33203125" style="15" customWidth="1"/>
    <col min="14354" max="14354" width="15.6640625" style="15" customWidth="1"/>
    <col min="14355" max="14355" width="12.6640625" style="15" customWidth="1"/>
    <col min="14356" max="14594" width="10" style="15"/>
    <col min="14595" max="14595" width="7.6640625" style="15" customWidth="1"/>
    <col min="14596" max="14596" width="4.33203125" style="15" customWidth="1"/>
    <col min="14597" max="14598" width="6.83203125" style="15" customWidth="1"/>
    <col min="14599" max="14599" width="6.33203125" style="15" customWidth="1"/>
    <col min="14600" max="14600" width="9" style="15" customWidth="1"/>
    <col min="14601" max="14603" width="8.33203125" style="15" customWidth="1"/>
    <col min="14604" max="14604" width="7.6640625" style="15" customWidth="1"/>
    <col min="14605" max="14605" width="8.83203125" style="15" customWidth="1"/>
    <col min="14606" max="14606" width="10.33203125" style="15" customWidth="1"/>
    <col min="14607" max="14609" width="9.33203125" style="15" customWidth="1"/>
    <col min="14610" max="14610" width="15.6640625" style="15" customWidth="1"/>
    <col min="14611" max="14611" width="12.6640625" style="15" customWidth="1"/>
    <col min="14612" max="14850" width="10" style="15"/>
    <col min="14851" max="14851" width="7.6640625" style="15" customWidth="1"/>
    <col min="14852" max="14852" width="4.33203125" style="15" customWidth="1"/>
    <col min="14853" max="14854" width="6.83203125" style="15" customWidth="1"/>
    <col min="14855" max="14855" width="6.33203125" style="15" customWidth="1"/>
    <col min="14856" max="14856" width="9" style="15" customWidth="1"/>
    <col min="14857" max="14859" width="8.33203125" style="15" customWidth="1"/>
    <col min="14860" max="14860" width="7.6640625" style="15" customWidth="1"/>
    <col min="14861" max="14861" width="8.83203125" style="15" customWidth="1"/>
    <col min="14862" max="14862" width="10.33203125" style="15" customWidth="1"/>
    <col min="14863" max="14865" width="9.33203125" style="15" customWidth="1"/>
    <col min="14866" max="14866" width="15.6640625" style="15" customWidth="1"/>
    <col min="14867" max="14867" width="12.6640625" style="15" customWidth="1"/>
    <col min="14868" max="15106" width="10" style="15"/>
    <col min="15107" max="15107" width="7.6640625" style="15" customWidth="1"/>
    <col min="15108" max="15108" width="4.33203125" style="15" customWidth="1"/>
    <col min="15109" max="15110" width="6.83203125" style="15" customWidth="1"/>
    <col min="15111" max="15111" width="6.33203125" style="15" customWidth="1"/>
    <col min="15112" max="15112" width="9" style="15" customWidth="1"/>
    <col min="15113" max="15115" width="8.33203125" style="15" customWidth="1"/>
    <col min="15116" max="15116" width="7.6640625" style="15" customWidth="1"/>
    <col min="15117" max="15117" width="8.83203125" style="15" customWidth="1"/>
    <col min="15118" max="15118" width="10.33203125" style="15" customWidth="1"/>
    <col min="15119" max="15121" width="9.33203125" style="15" customWidth="1"/>
    <col min="15122" max="15122" width="15.6640625" style="15" customWidth="1"/>
    <col min="15123" max="15123" width="12.6640625" style="15" customWidth="1"/>
    <col min="15124" max="15362" width="10" style="15"/>
    <col min="15363" max="15363" width="7.6640625" style="15" customWidth="1"/>
    <col min="15364" max="15364" width="4.33203125" style="15" customWidth="1"/>
    <col min="15365" max="15366" width="6.83203125" style="15" customWidth="1"/>
    <col min="15367" max="15367" width="6.33203125" style="15" customWidth="1"/>
    <col min="15368" max="15368" width="9" style="15" customWidth="1"/>
    <col min="15369" max="15371" width="8.33203125" style="15" customWidth="1"/>
    <col min="15372" max="15372" width="7.6640625" style="15" customWidth="1"/>
    <col min="15373" max="15373" width="8.83203125" style="15" customWidth="1"/>
    <col min="15374" max="15374" width="10.33203125" style="15" customWidth="1"/>
    <col min="15375" max="15377" width="9.33203125" style="15" customWidth="1"/>
    <col min="15378" max="15378" width="15.6640625" style="15" customWidth="1"/>
    <col min="15379" max="15379" width="12.6640625" style="15" customWidth="1"/>
    <col min="15380" max="15618" width="10" style="15"/>
    <col min="15619" max="15619" width="7.6640625" style="15" customWidth="1"/>
    <col min="15620" max="15620" width="4.33203125" style="15" customWidth="1"/>
    <col min="15621" max="15622" width="6.83203125" style="15" customWidth="1"/>
    <col min="15623" max="15623" width="6.33203125" style="15" customWidth="1"/>
    <col min="15624" max="15624" width="9" style="15" customWidth="1"/>
    <col min="15625" max="15627" width="8.33203125" style="15" customWidth="1"/>
    <col min="15628" max="15628" width="7.6640625" style="15" customWidth="1"/>
    <col min="15629" max="15629" width="8.83203125" style="15" customWidth="1"/>
    <col min="15630" max="15630" width="10.33203125" style="15" customWidth="1"/>
    <col min="15631" max="15633" width="9.33203125" style="15" customWidth="1"/>
    <col min="15634" max="15634" width="15.6640625" style="15" customWidth="1"/>
    <col min="15635" max="15635" width="12.6640625" style="15" customWidth="1"/>
    <col min="15636" max="15874" width="10" style="15"/>
    <col min="15875" max="15875" width="7.6640625" style="15" customWidth="1"/>
    <col min="15876" max="15876" width="4.33203125" style="15" customWidth="1"/>
    <col min="15877" max="15878" width="6.83203125" style="15" customWidth="1"/>
    <col min="15879" max="15879" width="6.33203125" style="15" customWidth="1"/>
    <col min="15880" max="15880" width="9" style="15" customWidth="1"/>
    <col min="15881" max="15883" width="8.33203125" style="15" customWidth="1"/>
    <col min="15884" max="15884" width="7.6640625" style="15" customWidth="1"/>
    <col min="15885" max="15885" width="8.83203125" style="15" customWidth="1"/>
    <col min="15886" max="15886" width="10.33203125" style="15" customWidth="1"/>
    <col min="15887" max="15889" width="9.33203125" style="15" customWidth="1"/>
    <col min="15890" max="15890" width="15.6640625" style="15" customWidth="1"/>
    <col min="15891" max="15891" width="12.6640625" style="15" customWidth="1"/>
    <col min="15892" max="16130" width="10" style="15"/>
    <col min="16131" max="16131" width="7.6640625" style="15" customWidth="1"/>
    <col min="16132" max="16132" width="4.33203125" style="15" customWidth="1"/>
    <col min="16133" max="16134" width="6.83203125" style="15" customWidth="1"/>
    <col min="16135" max="16135" width="6.33203125" style="15" customWidth="1"/>
    <col min="16136" max="16136" width="9" style="15" customWidth="1"/>
    <col min="16137" max="16139" width="8.33203125" style="15" customWidth="1"/>
    <col min="16140" max="16140" width="7.6640625" style="15" customWidth="1"/>
    <col min="16141" max="16141" width="8.83203125" style="15" customWidth="1"/>
    <col min="16142" max="16142" width="10.33203125" style="15" customWidth="1"/>
    <col min="16143" max="16145" width="9.33203125" style="15" customWidth="1"/>
    <col min="16146" max="16146" width="15.6640625" style="15" customWidth="1"/>
    <col min="16147" max="16147" width="12.6640625" style="15" customWidth="1"/>
    <col min="16148" max="16384" width="10" style="15"/>
  </cols>
  <sheetData>
    <row r="1" spans="1:34" s="1" customFormat="1" ht="26.75" customHeight="1">
      <c r="A1" s="115" t="s">
        <v>104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96"/>
      <c r="X1" s="2"/>
      <c r="Y1" s="3"/>
    </row>
    <row r="2" spans="1:34" s="1" customFormat="1" ht="26.75" customHeight="1">
      <c r="A2" s="116" t="s">
        <v>100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03"/>
      <c r="X2" s="2"/>
      <c r="Y2" s="3"/>
      <c r="Z2" s="8"/>
      <c r="AA2" s="8"/>
      <c r="AB2" s="8"/>
      <c r="AC2" s="8"/>
      <c r="AD2" s="8"/>
      <c r="AE2" s="8"/>
      <c r="AF2" s="8"/>
      <c r="AG2" s="8"/>
      <c r="AH2" s="8"/>
    </row>
    <row r="3" spans="1:34" ht="14.25" customHeight="1">
      <c r="A3" s="123" t="s">
        <v>77</v>
      </c>
      <c r="B3" s="123" t="s">
        <v>1</v>
      </c>
      <c r="C3" s="120" t="s">
        <v>37</v>
      </c>
      <c r="D3" s="120"/>
      <c r="E3" s="120"/>
      <c r="F3" s="120"/>
      <c r="G3" s="120"/>
      <c r="H3" s="120"/>
      <c r="I3" s="120" t="s">
        <v>38</v>
      </c>
      <c r="J3" s="120"/>
      <c r="K3" s="120"/>
      <c r="L3" s="120"/>
      <c r="M3" s="120"/>
      <c r="N3" s="111" t="s">
        <v>39</v>
      </c>
      <c r="O3" s="118" t="s">
        <v>81</v>
      </c>
      <c r="P3" s="118"/>
      <c r="Q3" s="118"/>
      <c r="R3" s="118" t="s">
        <v>40</v>
      </c>
      <c r="S3" s="118" t="s">
        <v>41</v>
      </c>
      <c r="T3" s="119" t="s">
        <v>117</v>
      </c>
      <c r="U3" s="119" t="s">
        <v>8</v>
      </c>
      <c r="V3" s="119" t="s">
        <v>123</v>
      </c>
      <c r="X3" s="12" t="s">
        <v>57</v>
      </c>
      <c r="Y3" s="9" t="s">
        <v>34</v>
      </c>
      <c r="Z3" s="8"/>
      <c r="AA3" s="8"/>
      <c r="AB3" s="8"/>
      <c r="AC3" s="8"/>
      <c r="AD3" s="8"/>
      <c r="AE3" s="8"/>
      <c r="AF3" s="8"/>
      <c r="AG3" s="8"/>
      <c r="AH3" s="8"/>
    </row>
    <row r="4" spans="1:34" ht="34.25" customHeight="1">
      <c r="A4" s="124"/>
      <c r="B4" s="124"/>
      <c r="C4" s="7" t="s">
        <v>42</v>
      </c>
      <c r="D4" s="75" t="s">
        <v>84</v>
      </c>
      <c r="E4" s="76" t="s">
        <v>44</v>
      </c>
      <c r="F4" s="75" t="s">
        <v>45</v>
      </c>
      <c r="G4" s="75" t="s">
        <v>46</v>
      </c>
      <c r="H4" s="59" t="s">
        <v>43</v>
      </c>
      <c r="I4" s="75" t="s">
        <v>85</v>
      </c>
      <c r="J4" s="75" t="s">
        <v>86</v>
      </c>
      <c r="K4" s="75" t="s">
        <v>87</v>
      </c>
      <c r="L4" s="75" t="s">
        <v>47</v>
      </c>
      <c r="M4" s="36" t="s">
        <v>43</v>
      </c>
      <c r="N4" s="111"/>
      <c r="O4" s="36" t="s">
        <v>48</v>
      </c>
      <c r="P4" s="36" t="s">
        <v>49</v>
      </c>
      <c r="Q4" s="36" t="s">
        <v>32</v>
      </c>
      <c r="R4" s="118"/>
      <c r="S4" s="118"/>
      <c r="T4" s="119"/>
      <c r="U4" s="119"/>
      <c r="V4" s="119"/>
      <c r="X4" s="12" t="s">
        <v>48</v>
      </c>
      <c r="Y4" s="57">
        <f>H14</f>
        <v>4200</v>
      </c>
      <c r="Z4" s="8"/>
      <c r="AA4" s="8"/>
      <c r="AB4" s="8"/>
      <c r="AC4" s="8"/>
      <c r="AD4" s="8"/>
      <c r="AE4" s="8"/>
      <c r="AF4" s="8"/>
      <c r="AG4" s="8"/>
      <c r="AH4" s="8"/>
    </row>
    <row r="5" spans="1:34" ht="19.5" customHeight="1">
      <c r="A5" s="41">
        <v>1</v>
      </c>
      <c r="B5" s="9" t="s">
        <v>54</v>
      </c>
      <c r="C5" s="74">
        <v>2000</v>
      </c>
      <c r="D5" s="68">
        <v>50</v>
      </c>
      <c r="E5" s="68">
        <v>0</v>
      </c>
      <c r="F5" s="68">
        <v>100</v>
      </c>
      <c r="G5" s="66">
        <v>0</v>
      </c>
      <c r="H5" s="58">
        <f t="shared" ref="H5:H9" si="0">ROUND(SUM(C5:G5),0)</f>
        <v>2150</v>
      </c>
      <c r="I5" s="10">
        <v>5000</v>
      </c>
      <c r="J5" s="10"/>
      <c r="K5" s="10"/>
      <c r="L5" s="92"/>
      <c r="M5" s="34">
        <f t="shared" ref="M5:M8" si="1">ROUND(SUM(I5:L5),0)</f>
        <v>5000</v>
      </c>
      <c r="N5" s="34">
        <f t="shared" ref="N5:N9" si="2">H5+M5</f>
        <v>7150</v>
      </c>
      <c r="O5" s="91">
        <f>IF(H5&lt;8000,H5*0.2,1600)</f>
        <v>430</v>
      </c>
      <c r="P5" s="34">
        <f>M5*0.2</f>
        <v>1000</v>
      </c>
      <c r="Q5" s="34">
        <f t="shared" ref="Q5:Q13" si="3">ROUND(O5+P5,0)</f>
        <v>1430</v>
      </c>
      <c r="R5" s="34"/>
      <c r="S5" s="60">
        <f t="shared" ref="S5:S13" si="4">ROUND(Q5+R5,0)</f>
        <v>1430</v>
      </c>
      <c r="T5" s="80">
        <f t="shared" ref="T5:T13" si="5">ROUND(N5-S5,0)</f>
        <v>5720</v>
      </c>
      <c r="U5" s="11"/>
      <c r="V5" s="104" t="s">
        <v>139</v>
      </c>
      <c r="X5" s="12" t="s">
        <v>49</v>
      </c>
      <c r="Y5" s="57">
        <f>M14</f>
        <v>6000</v>
      </c>
      <c r="Z5" s="8"/>
      <c r="AA5" s="8"/>
      <c r="AB5" s="8"/>
      <c r="AC5" s="8"/>
      <c r="AD5" s="8"/>
      <c r="AE5" s="8"/>
      <c r="AF5" s="8"/>
      <c r="AG5" s="8"/>
      <c r="AH5" s="8"/>
    </row>
    <row r="6" spans="1:34" ht="21.75" customHeight="1">
      <c r="A6" s="9">
        <v>2</v>
      </c>
      <c r="B6" s="9" t="s">
        <v>99</v>
      </c>
      <c r="C6" s="93">
        <v>2000</v>
      </c>
      <c r="D6" s="68">
        <v>50</v>
      </c>
      <c r="E6" s="68">
        <v>0</v>
      </c>
      <c r="F6" s="68">
        <v>0</v>
      </c>
      <c r="G6" s="66">
        <v>0</v>
      </c>
      <c r="H6" s="58">
        <f t="shared" si="0"/>
        <v>2050</v>
      </c>
      <c r="I6" s="10"/>
      <c r="J6" s="10">
        <v>200</v>
      </c>
      <c r="K6" s="10"/>
      <c r="L6" s="92"/>
      <c r="M6" s="34">
        <v>1000</v>
      </c>
      <c r="N6" s="34">
        <f t="shared" si="2"/>
        <v>3050</v>
      </c>
      <c r="O6" s="94">
        <f>IF(H6&lt;8000,H6*0.075,600)</f>
        <v>153.75</v>
      </c>
      <c r="P6" s="91">
        <f>M6*0.075</f>
        <v>75</v>
      </c>
      <c r="Q6" s="34">
        <f t="shared" si="3"/>
        <v>229</v>
      </c>
      <c r="R6" s="34"/>
      <c r="S6" s="60">
        <f t="shared" si="4"/>
        <v>229</v>
      </c>
      <c r="T6" s="80">
        <f t="shared" si="5"/>
        <v>2821</v>
      </c>
      <c r="U6" s="61"/>
      <c r="V6" s="106" t="s">
        <v>138</v>
      </c>
      <c r="X6" s="12" t="s">
        <v>58</v>
      </c>
      <c r="Y6" s="57">
        <f>K14</f>
        <v>0</v>
      </c>
      <c r="Z6" s="8"/>
      <c r="AA6" s="8"/>
      <c r="AB6" s="8"/>
      <c r="AC6" s="8"/>
      <c r="AD6" s="8"/>
      <c r="AE6" s="8"/>
      <c r="AF6" s="8"/>
      <c r="AG6" s="8"/>
      <c r="AH6" s="8"/>
    </row>
    <row r="7" spans="1:34" ht="19.5" customHeight="1">
      <c r="A7" s="41">
        <v>3</v>
      </c>
      <c r="B7" s="9"/>
      <c r="C7" s="74"/>
      <c r="D7" s="82"/>
      <c r="E7" s="68"/>
      <c r="F7" s="68"/>
      <c r="G7" s="66"/>
      <c r="H7" s="58">
        <f t="shared" si="0"/>
        <v>0</v>
      </c>
      <c r="I7" s="10"/>
      <c r="J7" s="10"/>
      <c r="K7" s="10"/>
      <c r="L7" s="92"/>
      <c r="M7" s="34">
        <f t="shared" si="1"/>
        <v>0</v>
      </c>
      <c r="N7" s="34">
        <f t="shared" si="2"/>
        <v>0</v>
      </c>
      <c r="O7" s="34">
        <f t="shared" ref="O7:O13" si="6">IF(H7&lt;8000,H7*0.2,1600)</f>
        <v>0</v>
      </c>
      <c r="P7" s="34">
        <f t="shared" ref="P7:P13" si="7">M7*0.2</f>
        <v>0</v>
      </c>
      <c r="Q7" s="34">
        <f>ROUND(O7+P7,0)</f>
        <v>0</v>
      </c>
      <c r="R7" s="34"/>
      <c r="S7" s="60">
        <f>ROUND(Q7+R7,0)</f>
        <v>0</v>
      </c>
      <c r="T7" s="80">
        <f t="shared" si="5"/>
        <v>0</v>
      </c>
      <c r="U7" s="11"/>
      <c r="V7" s="11"/>
      <c r="X7" s="12" t="s">
        <v>59</v>
      </c>
      <c r="Y7" s="57">
        <f>Q14</f>
        <v>1659</v>
      </c>
      <c r="Z7" s="8"/>
      <c r="AA7" s="8"/>
      <c r="AB7" s="8"/>
      <c r="AC7" s="8"/>
      <c r="AD7" s="8"/>
      <c r="AE7" s="8"/>
      <c r="AF7" s="8"/>
      <c r="AG7" s="8"/>
      <c r="AH7" s="8"/>
    </row>
    <row r="8" spans="1:34" ht="19.5" customHeight="1">
      <c r="A8" s="9">
        <v>4</v>
      </c>
      <c r="B8" s="9"/>
      <c r="C8" s="74"/>
      <c r="D8" s="68"/>
      <c r="E8" s="90"/>
      <c r="F8" s="68"/>
      <c r="G8" s="66"/>
      <c r="H8" s="58">
        <f t="shared" si="0"/>
        <v>0</v>
      </c>
      <c r="I8" s="10"/>
      <c r="J8" s="10"/>
      <c r="K8" s="10"/>
      <c r="L8" s="92"/>
      <c r="M8" s="34">
        <f t="shared" si="1"/>
        <v>0</v>
      </c>
      <c r="N8" s="34">
        <f t="shared" si="2"/>
        <v>0</v>
      </c>
      <c r="O8" s="34">
        <f t="shared" si="6"/>
        <v>0</v>
      </c>
      <c r="P8" s="34">
        <f t="shared" si="7"/>
        <v>0</v>
      </c>
      <c r="Q8" s="34">
        <f t="shared" si="3"/>
        <v>0</v>
      </c>
      <c r="R8" s="34"/>
      <c r="S8" s="60">
        <f t="shared" si="4"/>
        <v>0</v>
      </c>
      <c r="T8" s="80">
        <f t="shared" si="5"/>
        <v>0</v>
      </c>
      <c r="U8" s="11"/>
      <c r="V8" s="11"/>
      <c r="X8" s="35" t="s">
        <v>64</v>
      </c>
      <c r="Y8" s="57">
        <f>Y4+Y5</f>
        <v>10200</v>
      </c>
      <c r="Z8" s="8"/>
      <c r="AA8" s="8"/>
      <c r="AB8" s="8"/>
      <c r="AC8" s="8"/>
      <c r="AD8" s="8"/>
      <c r="AE8" s="8"/>
      <c r="AF8" s="8"/>
      <c r="AG8" s="8"/>
      <c r="AH8" s="8"/>
    </row>
    <row r="9" spans="1:34" ht="19.5" customHeight="1">
      <c r="A9" s="41">
        <v>5</v>
      </c>
      <c r="B9" s="9"/>
      <c r="C9" s="74"/>
      <c r="D9" s="68"/>
      <c r="E9" s="90"/>
      <c r="F9" s="68"/>
      <c r="G9" s="66"/>
      <c r="H9" s="58">
        <f t="shared" si="0"/>
        <v>0</v>
      </c>
      <c r="I9" s="10"/>
      <c r="J9" s="10"/>
      <c r="K9" s="10"/>
      <c r="L9" s="10"/>
      <c r="M9" s="34">
        <f t="shared" ref="M9:M13" si="8">ROUND(SUM(I9:L9),0)</f>
        <v>0</v>
      </c>
      <c r="N9" s="34">
        <f t="shared" si="2"/>
        <v>0</v>
      </c>
      <c r="O9" s="34">
        <f t="shared" si="6"/>
        <v>0</v>
      </c>
      <c r="P9" s="34">
        <f t="shared" si="7"/>
        <v>0</v>
      </c>
      <c r="Q9" s="34">
        <f t="shared" si="3"/>
        <v>0</v>
      </c>
      <c r="R9" s="34"/>
      <c r="S9" s="60">
        <f t="shared" si="4"/>
        <v>0</v>
      </c>
      <c r="T9" s="80">
        <f t="shared" si="5"/>
        <v>0</v>
      </c>
      <c r="U9" s="11"/>
      <c r="V9" s="11"/>
      <c r="X9" s="28" t="s">
        <v>79</v>
      </c>
      <c r="Y9" s="57">
        <f>Q14</f>
        <v>1659</v>
      </c>
      <c r="Z9" s="8"/>
      <c r="AA9" s="8"/>
      <c r="AB9" s="8"/>
      <c r="AC9" s="8"/>
      <c r="AD9" s="8"/>
      <c r="AE9" s="8"/>
      <c r="AF9" s="8"/>
      <c r="AG9" s="8"/>
      <c r="AH9" s="8"/>
    </row>
    <row r="10" spans="1:34" ht="19.5" customHeight="1">
      <c r="A10" s="9">
        <v>6</v>
      </c>
      <c r="B10" s="9"/>
      <c r="C10" s="74"/>
      <c r="D10" s="68"/>
      <c r="E10" s="90"/>
      <c r="F10" s="68"/>
      <c r="G10" s="66"/>
      <c r="H10" s="58">
        <f>ROUND(SUM(C10:G10),0)</f>
        <v>0</v>
      </c>
      <c r="I10" s="10"/>
      <c r="J10" s="10"/>
      <c r="K10" s="10"/>
      <c r="L10" s="10"/>
      <c r="M10" s="34">
        <f t="shared" si="8"/>
        <v>0</v>
      </c>
      <c r="N10" s="34">
        <f>H10+M10</f>
        <v>0</v>
      </c>
      <c r="O10" s="34">
        <f t="shared" si="6"/>
        <v>0</v>
      </c>
      <c r="P10" s="34">
        <f t="shared" si="7"/>
        <v>0</v>
      </c>
      <c r="Q10" s="34">
        <f t="shared" si="3"/>
        <v>0</v>
      </c>
      <c r="R10" s="34"/>
      <c r="S10" s="60">
        <f t="shared" si="4"/>
        <v>0</v>
      </c>
      <c r="T10" s="80">
        <f t="shared" si="5"/>
        <v>0</v>
      </c>
      <c r="U10" s="11"/>
      <c r="V10" s="11"/>
      <c r="X10" s="12" t="s">
        <v>40</v>
      </c>
      <c r="Y10" s="57">
        <f>R14</f>
        <v>0</v>
      </c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1" customHeight="1">
      <c r="A11" s="41">
        <v>7</v>
      </c>
      <c r="B11" s="9"/>
      <c r="C11" s="74"/>
      <c r="D11" s="68"/>
      <c r="E11" s="68"/>
      <c r="F11" s="68"/>
      <c r="G11" s="66"/>
      <c r="H11" s="58">
        <f>ROUND(SUM(C11:G11),0)</f>
        <v>0</v>
      </c>
      <c r="I11" s="10"/>
      <c r="J11" s="10"/>
      <c r="K11" s="10"/>
      <c r="L11" s="10"/>
      <c r="M11" s="34">
        <f t="shared" si="8"/>
        <v>0</v>
      </c>
      <c r="N11" s="34">
        <f>H11+M11</f>
        <v>0</v>
      </c>
      <c r="O11" s="34">
        <f t="shared" si="6"/>
        <v>0</v>
      </c>
      <c r="P11" s="34">
        <f t="shared" si="7"/>
        <v>0</v>
      </c>
      <c r="Q11" s="34">
        <f t="shared" si="3"/>
        <v>0</v>
      </c>
      <c r="R11" s="34"/>
      <c r="S11" s="60">
        <f t="shared" si="4"/>
        <v>0</v>
      </c>
      <c r="T11" s="80">
        <f t="shared" si="5"/>
        <v>0</v>
      </c>
      <c r="U11" s="54"/>
      <c r="V11" s="54"/>
      <c r="X11" s="12" t="s">
        <v>80</v>
      </c>
      <c r="Y11" s="57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19.5" customHeight="1">
      <c r="A12" s="9">
        <v>8</v>
      </c>
      <c r="B12" s="9"/>
      <c r="C12" s="34"/>
      <c r="D12" s="34"/>
      <c r="E12" s="34"/>
      <c r="F12" s="34"/>
      <c r="G12" s="34"/>
      <c r="H12" s="58">
        <f t="shared" ref="H12:H13" si="9">ROUND(SUM(C12:G12),0)</f>
        <v>0</v>
      </c>
      <c r="I12" s="10"/>
      <c r="J12" s="10"/>
      <c r="K12" s="10"/>
      <c r="L12" s="10"/>
      <c r="M12" s="34">
        <f t="shared" si="8"/>
        <v>0</v>
      </c>
      <c r="N12" s="34">
        <f t="shared" ref="N12:N13" si="10">H12+M12</f>
        <v>0</v>
      </c>
      <c r="O12" s="34">
        <f t="shared" si="6"/>
        <v>0</v>
      </c>
      <c r="P12" s="34">
        <f t="shared" si="7"/>
        <v>0</v>
      </c>
      <c r="Q12" s="34">
        <f t="shared" si="3"/>
        <v>0</v>
      </c>
      <c r="R12" s="34"/>
      <c r="S12" s="60">
        <f t="shared" si="4"/>
        <v>0</v>
      </c>
      <c r="T12" s="80">
        <f t="shared" si="5"/>
        <v>0</v>
      </c>
      <c r="U12" s="11"/>
      <c r="V12" s="11"/>
      <c r="X12" s="12" t="s">
        <v>60</v>
      </c>
      <c r="Y12" s="57">
        <f>Y8-Y9-Y10+Y11</f>
        <v>8541</v>
      </c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9.5" customHeight="1">
      <c r="A13" s="41">
        <v>9</v>
      </c>
      <c r="B13" s="9"/>
      <c r="C13" s="34"/>
      <c r="D13" s="34"/>
      <c r="E13" s="34"/>
      <c r="F13" s="34"/>
      <c r="G13" s="34"/>
      <c r="H13" s="58">
        <f t="shared" si="9"/>
        <v>0</v>
      </c>
      <c r="I13" s="10"/>
      <c r="J13" s="10"/>
      <c r="K13" s="10"/>
      <c r="L13" s="10"/>
      <c r="M13" s="34">
        <f t="shared" si="8"/>
        <v>0</v>
      </c>
      <c r="N13" s="34">
        <f t="shared" si="10"/>
        <v>0</v>
      </c>
      <c r="O13" s="34">
        <f t="shared" si="6"/>
        <v>0</v>
      </c>
      <c r="P13" s="34">
        <f t="shared" si="7"/>
        <v>0</v>
      </c>
      <c r="Q13" s="34">
        <f t="shared" si="3"/>
        <v>0</v>
      </c>
      <c r="R13" s="34"/>
      <c r="S13" s="60">
        <f t="shared" si="4"/>
        <v>0</v>
      </c>
      <c r="T13" s="80">
        <f t="shared" si="5"/>
        <v>0</v>
      </c>
      <c r="U13" s="11"/>
      <c r="V13" s="11"/>
      <c r="X13" s="122" t="str">
        <f>IF(Y12-T14=0,"左右一致","与工资发放表（左表）汇总数不一致")</f>
        <v>左右一致</v>
      </c>
      <c r="Y13" s="122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9.5" customHeight="1">
      <c r="A14" s="119" t="s">
        <v>32</v>
      </c>
      <c r="B14" s="119"/>
      <c r="C14" s="16">
        <f t="shared" ref="C14:T14" si="11">SUM(C5:C13)</f>
        <v>4000</v>
      </c>
      <c r="D14" s="16">
        <f t="shared" si="11"/>
        <v>100</v>
      </c>
      <c r="E14" s="16">
        <f t="shared" si="11"/>
        <v>0</v>
      </c>
      <c r="F14" s="16">
        <f t="shared" si="11"/>
        <v>100</v>
      </c>
      <c r="G14" s="16">
        <f t="shared" si="11"/>
        <v>0</v>
      </c>
      <c r="H14" s="42">
        <f t="shared" si="11"/>
        <v>4200</v>
      </c>
      <c r="I14" s="16">
        <f t="shared" si="11"/>
        <v>5000</v>
      </c>
      <c r="J14" s="16">
        <f t="shared" si="11"/>
        <v>200</v>
      </c>
      <c r="K14" s="16">
        <f t="shared" si="11"/>
        <v>0</v>
      </c>
      <c r="L14" s="16">
        <f t="shared" si="11"/>
        <v>0</v>
      </c>
      <c r="M14" s="16">
        <f t="shared" si="11"/>
        <v>6000</v>
      </c>
      <c r="N14" s="38">
        <f t="shared" si="11"/>
        <v>10200</v>
      </c>
      <c r="O14" s="38">
        <f t="shared" si="11"/>
        <v>583.75</v>
      </c>
      <c r="P14" s="38">
        <f t="shared" si="11"/>
        <v>1075</v>
      </c>
      <c r="Q14" s="38">
        <f t="shared" si="11"/>
        <v>1659</v>
      </c>
      <c r="R14" s="38">
        <f t="shared" si="11"/>
        <v>0</v>
      </c>
      <c r="S14" s="38">
        <f t="shared" si="11"/>
        <v>1659</v>
      </c>
      <c r="T14" s="38">
        <f t="shared" si="11"/>
        <v>8541</v>
      </c>
      <c r="U14" s="62"/>
      <c r="V14" s="62"/>
    </row>
    <row r="15" spans="1:34" ht="19.5" customHeight="1">
      <c r="A15" s="29"/>
      <c r="B15" s="29"/>
      <c r="C15" s="19"/>
      <c r="D15" s="19"/>
      <c r="E15" s="19"/>
      <c r="F15" s="19"/>
      <c r="G15" s="19"/>
      <c r="H15" s="2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30"/>
      <c r="V15" s="30"/>
    </row>
    <row r="16" spans="1:34" ht="18" customHeight="1">
      <c r="A16" s="29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95"/>
    </row>
    <row r="17" spans="1:23" ht="19.5" customHeight="1">
      <c r="A17" s="29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95"/>
    </row>
    <row r="18" spans="1:23" ht="25.25" customHeight="1">
      <c r="A18" s="2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95"/>
    </row>
    <row r="19" spans="1:23" ht="19.5" customHeight="1">
      <c r="A19" s="29"/>
      <c r="B19" s="29"/>
      <c r="C19" s="19"/>
      <c r="D19" s="19"/>
      <c r="E19" s="19"/>
      <c r="F19" s="19"/>
      <c r="G19" s="19"/>
      <c r="H19" s="2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30"/>
      <c r="V19" s="30"/>
    </row>
    <row r="20" spans="1:23" ht="19.5" customHeight="1">
      <c r="A20" s="29"/>
      <c r="B20" s="117" t="s">
        <v>55</v>
      </c>
      <c r="C20" s="117"/>
      <c r="D20" s="117"/>
      <c r="E20" s="117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  <c r="T20" s="32" t="s">
        <v>56</v>
      </c>
      <c r="U20" s="33"/>
      <c r="V20" s="33"/>
    </row>
    <row r="21" spans="1:23">
      <c r="A21" s="29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2"/>
      <c r="T21" s="32"/>
      <c r="U21" s="33"/>
      <c r="V21" s="33"/>
      <c r="W21" s="33"/>
    </row>
  </sheetData>
  <mergeCells count="19">
    <mergeCell ref="B18:U18"/>
    <mergeCell ref="B20:E20"/>
    <mergeCell ref="T3:T4"/>
    <mergeCell ref="U3:U4"/>
    <mergeCell ref="X13:Y13"/>
    <mergeCell ref="A14:B14"/>
    <mergeCell ref="B16:U16"/>
    <mergeCell ref="B17:U17"/>
    <mergeCell ref="V3:V4"/>
    <mergeCell ref="A1:U1"/>
    <mergeCell ref="A2:U2"/>
    <mergeCell ref="A3:A4"/>
    <mergeCell ref="B3:B4"/>
    <mergeCell ref="C3:H3"/>
    <mergeCell ref="I3:M3"/>
    <mergeCell ref="N3:N4"/>
    <mergeCell ref="O3:Q3"/>
    <mergeCell ref="R3:R4"/>
    <mergeCell ref="S3:S4"/>
  </mergeCells>
  <conditionalFormatting sqref="X13:Y13">
    <cfRule type="containsText" dxfId="1" priority="1" operator="containsText" text="不一致">
      <formula>NOT(ISERROR(SEARCH("不一致",X13)))</formula>
    </cfRule>
  </conditionalFormatting>
  <conditionalFormatting sqref="Y12">
    <cfRule type="cellIs" dxfId="0" priority="2" operator="equal">
      <formula>$T$14</formula>
    </cfRule>
  </conditionalFormatting>
  <hyperlinks>
    <hyperlink ref="V6" r:id="rId1" xr:uid="{1F50F2AF-CC87-491F-A6AF-39CE23B86F97}"/>
    <hyperlink ref="V5" r:id="rId2" xr:uid="{BE46F2E4-57BA-448A-A33E-4FC5EBBACE3A}"/>
  </hyperlinks>
  <printOptions horizontalCentered="1"/>
  <pageMargins left="0.24" right="0.47" top="0.79" bottom="0.19685039370078741" header="0.2" footer="0.28000000000000003"/>
  <pageSetup paperSize="9" scale="72" firstPageNumber="4294963191" orientation="landscape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5855-FF3A-40B3-863B-9E88A3251833}">
  <dimension ref="A5:C34"/>
  <sheetViews>
    <sheetView topLeftCell="A7" zoomScale="130" zoomScaleNormal="130" zoomScaleSheetLayoutView="100" workbookViewId="0">
      <selection activeCell="B25" sqref="B25"/>
    </sheetView>
  </sheetViews>
  <sheetFormatPr baseColWidth="10" defaultColWidth="8.83203125" defaultRowHeight="15"/>
  <cols>
    <col min="1" max="1" width="10.83203125" style="98" customWidth="1"/>
    <col min="2" max="2" width="36" customWidth="1"/>
    <col min="3" max="3" width="46.5" style="98" customWidth="1"/>
  </cols>
  <sheetData>
    <row r="5" spans="1:3">
      <c r="A5" s="98">
        <v>1</v>
      </c>
      <c r="B5" t="s">
        <v>106</v>
      </c>
      <c r="C5" s="98" t="s">
        <v>120</v>
      </c>
    </row>
    <row r="6" spans="1:3">
      <c r="A6" s="98">
        <v>2</v>
      </c>
      <c r="B6" t="s">
        <v>1</v>
      </c>
      <c r="C6" s="98" t="s">
        <v>107</v>
      </c>
    </row>
    <row r="7" spans="1:3">
      <c r="A7" s="98">
        <v>5</v>
      </c>
      <c r="B7" t="s">
        <v>114</v>
      </c>
      <c r="C7" s="98" t="s">
        <v>115</v>
      </c>
    </row>
    <row r="10" spans="1:3" s="97" customFormat="1">
      <c r="A10" s="99"/>
      <c r="B10" s="97" t="s">
        <v>122</v>
      </c>
      <c r="C10" s="99" t="s">
        <v>119</v>
      </c>
    </row>
    <row r="11" spans="1:3">
      <c r="A11" s="98">
        <v>4</v>
      </c>
      <c r="B11" t="s">
        <v>48</v>
      </c>
      <c r="C11" s="98">
        <f>_xlfn.XLOOKUP(C6,'属地员工-国际公司'!B6,'属地员工-国际公司'!H6,0)</f>
        <v>2050</v>
      </c>
    </row>
    <row r="12" spans="1:3">
      <c r="A12" s="98">
        <v>6</v>
      </c>
      <c r="B12" t="s">
        <v>84</v>
      </c>
      <c r="C12" s="98">
        <f>_xlfn.XLOOKUP(C6,'属地员工-国际公司'!B6,'属地员工-国际公司'!D6,0)</f>
        <v>50</v>
      </c>
    </row>
    <row r="13" spans="1:3">
      <c r="A13" s="98">
        <v>6</v>
      </c>
      <c r="B13" t="s">
        <v>109</v>
      </c>
      <c r="C13" s="98">
        <f>_xlfn.XLOOKUP(C6,'属地员工-国际公司'!B6,'属地员工-国际公司'!E6,0)</f>
        <v>0</v>
      </c>
    </row>
    <row r="14" spans="1:3">
      <c r="A14" s="98">
        <v>6</v>
      </c>
      <c r="B14" t="s">
        <v>110</v>
      </c>
      <c r="C14" s="98">
        <f>_xlfn.XLOOKUP(C6,'属地员工-国际公司'!B6,'属地员工-国际公司'!F6,0)</f>
        <v>0</v>
      </c>
    </row>
    <row r="15" spans="1:3">
      <c r="A15" s="98" t="s">
        <v>118</v>
      </c>
      <c r="B15" s="102" t="s">
        <v>116</v>
      </c>
      <c r="C15" s="98">
        <f>_xlfn.XLOOKUP(C6,'属地员工-国际公司'!B6,'属地员工-国际公司'!G6,0)</f>
        <v>0</v>
      </c>
    </row>
    <row r="16" spans="1:3">
      <c r="B16" t="s">
        <v>43</v>
      </c>
      <c r="C16" s="98">
        <f>_xlfn.XLOOKUP(C6,'属地员工-国际公司'!B6,'属地员工-国际公司'!H6,0)</f>
        <v>2050</v>
      </c>
    </row>
    <row r="18" spans="1:3">
      <c r="A18" s="98">
        <v>7</v>
      </c>
      <c r="B18" t="s">
        <v>85</v>
      </c>
      <c r="C18" s="98">
        <f>_xlfn.XLOOKUP(C6,'属地员工-国际公司'!B6,'属地员工-国际公司'!I6,0)</f>
        <v>0</v>
      </c>
    </row>
    <row r="19" spans="1:3">
      <c r="A19" s="98">
        <v>7</v>
      </c>
      <c r="B19" t="s">
        <v>86</v>
      </c>
      <c r="C19" s="98">
        <f>_xlfn.XLOOKUP(C6,'属地员工-国际公司'!B6,'属地员工-国际公司'!J6,0)</f>
        <v>200</v>
      </c>
    </row>
    <row r="20" spans="1:3">
      <c r="A20" s="98">
        <v>7</v>
      </c>
      <c r="B20" t="s">
        <v>87</v>
      </c>
      <c r="C20" s="98">
        <f>_xlfn.XLOOKUP(C6,'属地员工-国际公司'!B6,'属地员工-国际公司'!K6,0)</f>
        <v>0</v>
      </c>
    </row>
    <row r="21" spans="1:3">
      <c r="A21" s="98">
        <v>7</v>
      </c>
      <c r="B21" t="s">
        <v>47</v>
      </c>
      <c r="C21" s="98">
        <f>_xlfn.XLOOKUP(C6,'属地员工-国际公司'!B6,'属地员工-国际公司'!L6,0)</f>
        <v>0</v>
      </c>
    </row>
    <row r="22" spans="1:3">
      <c r="B22" t="s">
        <v>43</v>
      </c>
      <c r="C22" s="98">
        <f>_xlfn.XLOOKUP(C6,'属地员工-国际公司'!B6,'属地员工-国际公司'!M6)</f>
        <v>1000</v>
      </c>
    </row>
    <row r="23" spans="1:3">
      <c r="B23" s="97" t="s">
        <v>111</v>
      </c>
      <c r="C23" s="98">
        <f>C16+C22</f>
        <v>3050</v>
      </c>
    </row>
    <row r="25" spans="1:3">
      <c r="A25" s="98">
        <v>8</v>
      </c>
      <c r="B25" t="s">
        <v>112</v>
      </c>
    </row>
    <row r="26" spans="1:3">
      <c r="A26" s="98">
        <v>8</v>
      </c>
      <c r="B26" t="s">
        <v>113</v>
      </c>
      <c r="C26" s="98">
        <f>_xlfn.XLOOKUP(C6,'属地员工-国际公司'!B6,'属地员工-国际公司'!Q6,0)</f>
        <v>229</v>
      </c>
    </row>
    <row r="28" spans="1:3">
      <c r="B28" s="100" t="s">
        <v>41</v>
      </c>
    </row>
    <row r="31" spans="1:3">
      <c r="A31" s="98">
        <v>12</v>
      </c>
      <c r="B31" s="97" t="s">
        <v>117</v>
      </c>
      <c r="C31" s="98">
        <f>_xlfn.XLOOKUP(C6,'属地员工-国际公司'!B6,'属地员工-国际公司'!T6,0)</f>
        <v>2821</v>
      </c>
    </row>
    <row r="34" spans="1:3">
      <c r="A34" s="98">
        <v>3</v>
      </c>
      <c r="B34" s="97" t="s">
        <v>108</v>
      </c>
      <c r="C34" s="101" t="s">
        <v>121</v>
      </c>
    </row>
  </sheetData>
  <pageMargins left="0.7" right="0.7" top="0.75" bottom="0.75" header="0.3" footer="0.3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外派员工-分社</vt:lpstr>
      <vt:lpstr>外派员工-国际公司（分社代发）</vt:lpstr>
      <vt:lpstr>属地员工-分社</vt:lpstr>
      <vt:lpstr>属地员工-国际公司（分社代发）</vt:lpstr>
      <vt:lpstr>属地员工-国际公司</vt:lpstr>
      <vt:lpstr>Sheet1</vt:lpstr>
      <vt:lpstr>'外派员工-分社'!Print_Area</vt:lpstr>
      <vt:lpstr>'外派员工-国际公司（分社代发）'!Print_Area</vt:lpstr>
      <vt:lpstr>'属地员工-分社'!Print_Area</vt:lpstr>
      <vt:lpstr>'属地员工-国际公司'!Print_Area</vt:lpstr>
      <vt:lpstr>'属地员工-国际公司（分社代发）'!Print_Area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-CCS HK Jifang LI</dc:creator>
  <cp:lastModifiedBy>ty.f 范</cp:lastModifiedBy>
  <cp:lastPrinted>2026-01-30T07:12:06Z</cp:lastPrinted>
  <dcterms:created xsi:type="dcterms:W3CDTF">2024-03-31T09:54:26Z</dcterms:created>
  <dcterms:modified xsi:type="dcterms:W3CDTF">2026-01-30T09:53:35Z</dcterms:modified>
</cp:coreProperties>
</file>